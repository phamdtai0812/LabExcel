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.xml" ContentType="application/vnd.openxmlformats-officedocument.drawing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J:\"/>
    </mc:Choice>
  </mc:AlternateContent>
  <bookViews>
    <workbookView xWindow="15" yWindow="375" windowWidth="15480" windowHeight="8535" tabRatio="814" activeTab="10"/>
  </bookViews>
  <sheets>
    <sheet name="PrintLogs" sheetId="3" r:id="rId1"/>
    <sheet name="EvapData" sheetId="4" r:id="rId2"/>
    <sheet name="Evap29" sheetId="13" r:id="rId3"/>
    <sheet name="Evap30" sheetId="14" r:id="rId4"/>
    <sheet name="Evap31" sheetId="15" r:id="rId5"/>
    <sheet name="Evap32" sheetId="16" r:id="rId6"/>
    <sheet name="CalcData" sheetId="7" r:id="rId7"/>
    <sheet name="CalcInfo" sheetId="6" state="hidden" r:id="rId8"/>
    <sheet name="EvapInfo" sheetId="5" state="hidden" r:id="rId9"/>
    <sheet name="ClarData" sheetId="9" r:id="rId10"/>
    <sheet name="LabInputSht" sheetId="11" r:id="rId11"/>
    <sheet name="New Daily Lab Data" sheetId="12" r:id="rId12"/>
    <sheet name="ClarInfo" sheetId="8" state="hidden" r:id="rId13"/>
  </sheets>
  <functionGroups builtInGroupCount="18"/>
  <definedNames>
    <definedName name="ChargeControl" localSheetId="11">'New Daily Lab Data'!$A$4:$AP$4</definedName>
    <definedName name="DailyAnalysisAlumina" localSheetId="11">'New Daily Lab Data'!$A$16:$M$16</definedName>
    <definedName name="DailyAnalysisHydrate" localSheetId="11">'New Daily Lab Data'!$A$20:$K$20</definedName>
    <definedName name="Environmental" localSheetId="11">'New Daily Lab Data'!$A$24:$G$25</definedName>
    <definedName name="Environmental_1" localSheetId="11">'New Daily Lab Data'!$A$25:$G$25</definedName>
    <definedName name="FileDate">PrintLogs!$G$1</definedName>
    <definedName name="LabHydrateAnalysis" localSheetId="11">'New Daily Lab Data'!$A$31:$E$31</definedName>
    <definedName name="LabKilnDryer" localSheetId="11">'New Daily Lab Data'!$A$75:$AJ$75</definedName>
    <definedName name="LabSec3" localSheetId="11">'New Daily Lab Data'!$A$87:$K$87</definedName>
    <definedName name="LabSec3_1" localSheetId="11">'New Daily Lab Data'!$A$92:$K$92</definedName>
    <definedName name="LabSec3_10" localSheetId="11">'New Daily Lab Data'!$A$136:$K$136</definedName>
    <definedName name="LabSec3_11" localSheetId="11">'New Daily Lab Data'!$A$142:$K$142</definedName>
    <definedName name="LabSec3_12" localSheetId="11">'New Daily Lab Data'!$A$146:$K$146</definedName>
    <definedName name="LabSec3_13" localSheetId="11">'New Daily Lab Data'!$A$152:$K$152</definedName>
    <definedName name="LabSec3_14" localSheetId="11">'New Daily Lab Data'!$A$156:$K$156</definedName>
    <definedName name="LabSec3_2" localSheetId="11">'New Daily Lab Data'!$A$96:$K$96</definedName>
    <definedName name="LabSec3_3" localSheetId="11">'New Daily Lab Data'!$A$102:$K$102</definedName>
    <definedName name="LabSec3_4" localSheetId="11">'New Daily Lab Data'!$A$106:$K$106</definedName>
    <definedName name="LabSec3_5" localSheetId="11">'New Daily Lab Data'!$A$112:$K$112</definedName>
    <definedName name="LabSec3_6" localSheetId="11">'New Daily Lab Data'!$A$116:$K$116</definedName>
    <definedName name="LabSec3_7" localSheetId="11">'New Daily Lab Data'!$A$122:$K$122</definedName>
    <definedName name="LabSec3_8" localSheetId="11">'New Daily Lab Data'!$A$126:$K$126</definedName>
    <definedName name="LabSec3_9" localSheetId="11">'New Daily Lab Data'!$A$132:$K$132</definedName>
    <definedName name="_xlnm.Print_Area" localSheetId="9">ClarData!$A$1:$I$453</definedName>
    <definedName name="_xlnm.Print_Titles" localSheetId="10">LabInputSht!$1:$2</definedName>
    <definedName name="Query_from_cetec" localSheetId="11">'New Daily Lab Data'!$A$79:$X$79</definedName>
    <definedName name="Query_from_cetec_1" localSheetId="11">'New Daily Lab Data'!$A$83:$K$83</definedName>
    <definedName name="Query_from_cetec_2" localSheetId="11">'New Daily Lab Data'!#REF!</definedName>
    <definedName name="Query_from_db0app" localSheetId="11">'New Daily Lab Data'!$L$20:$L$22</definedName>
  </definedNames>
  <calcPr calcId="152511"/>
</workbook>
</file>

<file path=xl/calcChain.xml><?xml version="1.0" encoding="utf-8"?>
<calcChain xmlns="http://schemas.openxmlformats.org/spreadsheetml/2006/main">
  <c r="P21" i="7" l="1"/>
  <c r="K21" i="7"/>
  <c r="F21" i="7"/>
  <c r="P18" i="7"/>
  <c r="K18" i="7"/>
  <c r="F18" i="7"/>
  <c r="G18" i="7"/>
  <c r="H18" i="7"/>
  <c r="I18" i="7"/>
  <c r="J18" i="7"/>
  <c r="C18" i="7"/>
  <c r="D18" i="7"/>
  <c r="E18" i="7"/>
  <c r="B18" i="7"/>
  <c r="K26" i="7"/>
  <c r="K25" i="7"/>
  <c r="F26" i="7"/>
  <c r="F25" i="7"/>
  <c r="P13" i="7"/>
  <c r="P12" i="7"/>
  <c r="P11" i="7"/>
  <c r="K13" i="7"/>
  <c r="K12" i="7"/>
  <c r="K11" i="7"/>
  <c r="F13" i="7"/>
  <c r="F12" i="7"/>
  <c r="F11" i="7"/>
  <c r="P7" i="7"/>
  <c r="P6" i="7"/>
  <c r="P5" i="7"/>
  <c r="K7" i="7"/>
  <c r="K6" i="7"/>
  <c r="K5" i="7"/>
  <c r="F6" i="7"/>
  <c r="F7" i="7"/>
  <c r="F5" i="7"/>
  <c r="B1" i="16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B1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K30" i="14"/>
  <c r="C40" i="4" s="1"/>
  <c r="B1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E30" i="14"/>
  <c r="C34" i="4" s="1"/>
  <c r="B1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D30" i="16"/>
  <c r="A97" i="11"/>
  <c r="B32" i="11"/>
  <c r="B30" i="11"/>
  <c r="J82" i="11"/>
  <c r="E66" i="11"/>
  <c r="C66" i="11"/>
  <c r="A66" i="11"/>
  <c r="C48" i="11"/>
  <c r="E13" i="12"/>
  <c r="D7" i="11" s="1"/>
  <c r="D13" i="12"/>
  <c r="D6" i="11" s="1"/>
  <c r="C21" i="7"/>
  <c r="D21" i="7"/>
  <c r="E21" i="7"/>
  <c r="G21" i="7"/>
  <c r="H21" i="7"/>
  <c r="I21" i="7"/>
  <c r="J21" i="7"/>
  <c r="L21" i="7"/>
  <c r="M21" i="7"/>
  <c r="N21" i="7"/>
  <c r="O21" i="7"/>
  <c r="B21" i="7"/>
  <c r="L18" i="7"/>
  <c r="M18" i="7"/>
  <c r="N18" i="7"/>
  <c r="O18" i="7"/>
  <c r="A3" i="7"/>
  <c r="M4" i="6"/>
  <c r="M3" i="6"/>
  <c r="I4" i="6"/>
  <c r="I3" i="6"/>
  <c r="E4" i="6"/>
  <c r="E3" i="6"/>
  <c r="A4" i="6"/>
  <c r="A3" i="6"/>
  <c r="C1" i="9"/>
  <c r="I219" i="9"/>
  <c r="H219" i="9"/>
  <c r="G219" i="9"/>
  <c r="F219" i="9"/>
  <c r="E219" i="9"/>
  <c r="D219" i="9"/>
  <c r="E213" i="9"/>
  <c r="F213" i="9"/>
  <c r="G213" i="9"/>
  <c r="H213" i="9"/>
  <c r="I213" i="9"/>
  <c r="D213" i="9"/>
  <c r="A3" i="8"/>
  <c r="A2" i="8"/>
  <c r="D23" i="4"/>
  <c r="A3" i="5"/>
  <c r="A2" i="5"/>
  <c r="B31" i="11"/>
  <c r="B29" i="11"/>
  <c r="J112" i="11"/>
  <c r="H112" i="11"/>
  <c r="G112" i="11"/>
  <c r="F112" i="11"/>
  <c r="E112" i="11"/>
  <c r="D112" i="11"/>
  <c r="C112" i="11"/>
  <c r="J111" i="11"/>
  <c r="H111" i="11"/>
  <c r="G111" i="11"/>
  <c r="F111" i="11"/>
  <c r="E111" i="11"/>
  <c r="D111" i="11"/>
  <c r="C111" i="11"/>
  <c r="B91" i="11"/>
  <c r="F90" i="11"/>
  <c r="B90" i="11"/>
  <c r="F89" i="11"/>
  <c r="B89" i="11"/>
  <c r="F88" i="11"/>
  <c r="B88" i="11"/>
  <c r="F87" i="11"/>
  <c r="F93" i="11" s="1"/>
  <c r="B87" i="11"/>
  <c r="F86" i="11"/>
  <c r="F92" i="11" s="1"/>
  <c r="B86" i="11"/>
  <c r="F85" i="11"/>
  <c r="F91" i="11" s="1"/>
  <c r="B85" i="11"/>
  <c r="F84" i="11"/>
  <c r="B84" i="11"/>
  <c r="F83" i="11"/>
  <c r="B83" i="11"/>
  <c r="F82" i="11"/>
  <c r="B82" i="11"/>
  <c r="B81" i="11"/>
  <c r="F77" i="11"/>
  <c r="D77" i="11"/>
  <c r="B77" i="11"/>
  <c r="F76" i="11"/>
  <c r="D76" i="11"/>
  <c r="B76" i="11"/>
  <c r="F75" i="11"/>
  <c r="D75" i="11"/>
  <c r="B75" i="11"/>
  <c r="E72" i="11"/>
  <c r="C72" i="11"/>
  <c r="A72" i="11"/>
  <c r="E69" i="11"/>
  <c r="C69" i="11"/>
  <c r="A69" i="11"/>
  <c r="I60" i="11"/>
  <c r="G60" i="11"/>
  <c r="F60" i="11"/>
  <c r="D60" i="11"/>
  <c r="C60" i="11"/>
  <c r="B60" i="11"/>
  <c r="I59" i="11"/>
  <c r="G59" i="11"/>
  <c r="F59" i="11"/>
  <c r="D59" i="11"/>
  <c r="C59" i="11"/>
  <c r="B59" i="11"/>
  <c r="J53" i="11"/>
  <c r="J52" i="11"/>
  <c r="H52" i="11"/>
  <c r="F52" i="11"/>
  <c r="C52" i="11"/>
  <c r="C50" i="11"/>
  <c r="I48" i="11"/>
  <c r="I47" i="11"/>
  <c r="D47" i="11"/>
  <c r="C47" i="11"/>
  <c r="E38" i="11"/>
  <c r="D38" i="11"/>
  <c r="F35" i="11"/>
  <c r="D35" i="11"/>
  <c r="K30" i="11"/>
  <c r="I30" i="11"/>
  <c r="G30" i="11"/>
  <c r="F30" i="11" s="1"/>
  <c r="G29" i="11"/>
  <c r="F29" i="11"/>
  <c r="E29" i="11"/>
  <c r="L25" i="11"/>
  <c r="K25" i="11"/>
  <c r="J25" i="11"/>
  <c r="I25" i="11"/>
  <c r="D19" i="11"/>
  <c r="D18" i="11"/>
  <c r="AL13" i="12"/>
  <c r="G108" i="11" s="1"/>
  <c r="Q13" i="12"/>
  <c r="C108" i="11" s="1"/>
  <c r="AK13" i="12"/>
  <c r="G107" i="11" s="1"/>
  <c r="P13" i="12"/>
  <c r="C107" i="11" s="1"/>
  <c r="AJ13" i="12"/>
  <c r="G106" i="11" s="1"/>
  <c r="O13" i="12"/>
  <c r="C106" i="11" s="1"/>
  <c r="AI13" i="12"/>
  <c r="G105" i="11" s="1"/>
  <c r="N13" i="12"/>
  <c r="C105" i="11" s="1"/>
  <c r="AP13" i="12"/>
  <c r="G104" i="11" s="1"/>
  <c r="U13" i="12"/>
  <c r="C104" i="11" s="1"/>
  <c r="AN13" i="12"/>
  <c r="G103" i="11" s="1"/>
  <c r="T13" i="12"/>
  <c r="C103" i="11" s="1"/>
  <c r="AO13" i="12"/>
  <c r="G102" i="11" s="1"/>
  <c r="S13" i="12"/>
  <c r="C102" i="11" s="1"/>
  <c r="W13" i="12"/>
  <c r="I44" i="11" s="1"/>
  <c r="V13" i="12"/>
  <c r="H44" i="11" s="1"/>
  <c r="M13" i="12"/>
  <c r="B44" i="11" s="1"/>
  <c r="L13" i="12"/>
  <c r="A44" i="11" s="1"/>
  <c r="AB13" i="12"/>
  <c r="F25" i="11" s="1"/>
  <c r="AA13" i="12"/>
  <c r="E25" i="11" s="1"/>
  <c r="Z13" i="12"/>
  <c r="D25" i="11" s="1"/>
  <c r="Y13" i="12"/>
  <c r="B25" i="11" s="1"/>
  <c r="X13" i="12"/>
  <c r="A25" i="11" s="1"/>
  <c r="AM13" i="12"/>
  <c r="G101" i="11" s="1"/>
  <c r="R13" i="12"/>
  <c r="C101" i="11" s="1"/>
  <c r="K13" i="12"/>
  <c r="D16" i="11" s="1"/>
  <c r="AD13" i="12"/>
  <c r="J13" i="12"/>
  <c r="D14" i="11" s="1"/>
  <c r="I13" i="12"/>
  <c r="D13" i="11" s="1"/>
  <c r="H13" i="12"/>
  <c r="D12" i="11" s="1"/>
  <c r="G13" i="12"/>
  <c r="D11" i="11" s="1"/>
  <c r="F13" i="12"/>
  <c r="D10" i="11" s="1"/>
  <c r="AG13" i="12"/>
  <c r="D9" i="11" s="1"/>
  <c r="AE13" i="12"/>
  <c r="D8" i="11" s="1"/>
  <c r="AH13" i="12"/>
  <c r="D44" i="11" s="1"/>
  <c r="F44" i="11" s="1"/>
  <c r="AF13" i="12"/>
  <c r="C44" i="11" s="1"/>
  <c r="E44" i="11" s="1"/>
  <c r="C13" i="12"/>
  <c r="C5" i="11" s="1"/>
  <c r="D5" i="11" s="1"/>
  <c r="E5" i="11" s="1"/>
  <c r="E29" i="12"/>
  <c r="J84" i="11" s="1"/>
  <c r="D29" i="12"/>
  <c r="J83" i="11" s="1"/>
  <c r="J99" i="12"/>
  <c r="J113" i="11" s="1"/>
  <c r="G99" i="12"/>
  <c r="H113" i="11" s="1"/>
  <c r="I99" i="12"/>
  <c r="G113" i="11" s="1"/>
  <c r="K99" i="12"/>
  <c r="F113" i="11" s="1"/>
  <c r="F99" i="12"/>
  <c r="E113" i="11" s="1"/>
  <c r="E99" i="12"/>
  <c r="D113" i="11" s="1"/>
  <c r="D99" i="12"/>
  <c r="C113" i="11" s="1"/>
  <c r="D109" i="12"/>
  <c r="C114" i="11" s="1"/>
  <c r="E109" i="12"/>
  <c r="D114" i="11" s="1"/>
  <c r="F109" i="12"/>
  <c r="E114" i="11" s="1"/>
  <c r="K109" i="12"/>
  <c r="F114" i="11" s="1"/>
  <c r="I109" i="12"/>
  <c r="G114" i="11" s="1"/>
  <c r="G109" i="12"/>
  <c r="H114" i="11" s="1"/>
  <c r="J109" i="12"/>
  <c r="J114" i="11" s="1"/>
  <c r="D119" i="12"/>
  <c r="C115" i="11" s="1"/>
  <c r="E119" i="12"/>
  <c r="D115" i="11" s="1"/>
  <c r="F119" i="12"/>
  <c r="E115" i="11" s="1"/>
  <c r="K119" i="12"/>
  <c r="F115" i="11" s="1"/>
  <c r="I119" i="12"/>
  <c r="G115" i="11" s="1"/>
  <c r="G119" i="12"/>
  <c r="H115" i="11" s="1"/>
  <c r="J119" i="12"/>
  <c r="J115" i="11" s="1"/>
  <c r="E1" i="12"/>
  <c r="H1" i="12" s="1"/>
  <c r="J129" i="12"/>
  <c r="J116" i="11" s="1"/>
  <c r="G129" i="12"/>
  <c r="H116" i="11" s="1"/>
  <c r="I129" i="12"/>
  <c r="G116" i="11" s="1"/>
  <c r="K129" i="12"/>
  <c r="F116" i="11" s="1"/>
  <c r="F129" i="12"/>
  <c r="E116" i="11" s="1"/>
  <c r="E129" i="12"/>
  <c r="D116" i="11" s="1"/>
  <c r="D129" i="12"/>
  <c r="C116" i="11" s="1"/>
  <c r="J139" i="12"/>
  <c r="J117" i="11" s="1"/>
  <c r="G139" i="12"/>
  <c r="H117" i="11" s="1"/>
  <c r="I139" i="12"/>
  <c r="G117" i="11" s="1"/>
  <c r="K139" i="12"/>
  <c r="F117" i="11" s="1"/>
  <c r="F139" i="12"/>
  <c r="E117" i="11" s="1"/>
  <c r="E139" i="12"/>
  <c r="D117" i="11" s="1"/>
  <c r="D139" i="12"/>
  <c r="C117" i="11" s="1"/>
  <c r="J149" i="12"/>
  <c r="J118" i="11" s="1"/>
  <c r="G149" i="12"/>
  <c r="H118" i="11" s="1"/>
  <c r="I149" i="12"/>
  <c r="G118" i="11" s="1"/>
  <c r="K149" i="12"/>
  <c r="F118" i="11" s="1"/>
  <c r="F149" i="12"/>
  <c r="E118" i="11" s="1"/>
  <c r="E149" i="12"/>
  <c r="D118" i="11" s="1"/>
  <c r="D149" i="12"/>
  <c r="C118" i="11" s="1"/>
  <c r="J159" i="12"/>
  <c r="J119" i="11" s="1"/>
  <c r="G159" i="12"/>
  <c r="H119" i="11" s="1"/>
  <c r="I159" i="12"/>
  <c r="G119" i="11" s="1"/>
  <c r="K159" i="12"/>
  <c r="F119" i="11" s="1"/>
  <c r="F159" i="12"/>
  <c r="E119" i="11" s="1"/>
  <c r="E159" i="12"/>
  <c r="D119" i="11" s="1"/>
  <c r="D159" i="12"/>
  <c r="C119" i="11" s="1"/>
  <c r="H159" i="12"/>
  <c r="H149" i="12"/>
  <c r="H139" i="12"/>
  <c r="H129" i="12"/>
  <c r="H119" i="12"/>
  <c r="H99" i="12"/>
  <c r="H109" i="12"/>
  <c r="AC13" i="12"/>
  <c r="D97" i="11" l="1"/>
  <c r="A1" i="12"/>
  <c r="A2" i="12"/>
  <c r="C97" i="11"/>
  <c r="A1" i="11" l="1"/>
  <c r="I26" i="14" l="1"/>
  <c r="E19" i="16"/>
  <c r="I12" i="15"/>
  <c r="P8" i="13"/>
  <c r="Q15" i="13"/>
  <c r="C25" i="15"/>
  <c r="E27" i="15"/>
  <c r="G13" i="15"/>
  <c r="F8" i="14"/>
  <c r="J13" i="15"/>
  <c r="O14" i="15"/>
  <c r="F23" i="13"/>
  <c r="B15" i="15"/>
  <c r="B10" i="16"/>
  <c r="O12" i="15"/>
  <c r="R29" i="13"/>
  <c r="P19" i="13"/>
  <c r="I6" i="14"/>
  <c r="Q30" i="13"/>
  <c r="C15" i="16"/>
  <c r="G12" i="15"/>
  <c r="O9" i="15"/>
  <c r="N20" i="15"/>
  <c r="L11" i="13"/>
  <c r="D27" i="14"/>
  <c r="C9" i="13"/>
  <c r="E13" i="13"/>
  <c r="M8" i="13"/>
  <c r="D20" i="14"/>
  <c r="I25" i="13"/>
  <c r="G30" i="13"/>
  <c r="F24" i="13"/>
  <c r="J21" i="14"/>
  <c r="H17" i="14"/>
  <c r="M24" i="13"/>
  <c r="I28" i="15"/>
  <c r="B22" i="16"/>
  <c r="I25" i="14"/>
  <c r="B6" i="14"/>
  <c r="I8" i="13"/>
  <c r="N23" i="13"/>
  <c r="L7" i="13"/>
  <c r="H16" i="14"/>
  <c r="O10" i="15"/>
  <c r="P21" i="13"/>
  <c r="G27" i="15"/>
  <c r="F23" i="14"/>
  <c r="F27" i="14"/>
  <c r="L25" i="13"/>
  <c r="C12" i="15"/>
  <c r="E10" i="16"/>
  <c r="H29" i="13"/>
  <c r="H20" i="15"/>
  <c r="B14" i="15"/>
  <c r="B12" i="16"/>
  <c r="P11" i="13"/>
  <c r="M27" i="15"/>
  <c r="O8" i="13"/>
  <c r="N14" i="15"/>
  <c r="L6" i="15"/>
  <c r="C13" i="14"/>
  <c r="C18" i="14"/>
  <c r="C17" i="13"/>
  <c r="I9" i="15"/>
  <c r="L9" i="15"/>
  <c r="J28" i="13"/>
  <c r="E12" i="16"/>
  <c r="F8" i="13"/>
  <c r="L7" i="15"/>
  <c r="B28" i="14"/>
  <c r="J11" i="13"/>
  <c r="I11" i="15"/>
  <c r="C21" i="15"/>
  <c r="Q12" i="13"/>
  <c r="C17" i="14"/>
  <c r="B9" i="13"/>
  <c r="F18" i="15"/>
  <c r="G11" i="13"/>
  <c r="B20" i="13"/>
  <c r="L10" i="15"/>
  <c r="L20" i="13"/>
  <c r="J20" i="14"/>
  <c r="E29" i="15"/>
  <c r="J16" i="15"/>
  <c r="B25" i="16"/>
  <c r="L29" i="13"/>
  <c r="F11" i="13"/>
  <c r="D24" i="14"/>
  <c r="J8" i="14"/>
  <c r="C18" i="16"/>
  <c r="N21" i="13"/>
  <c r="D23" i="14"/>
  <c r="G21" i="14"/>
  <c r="O24" i="13"/>
  <c r="E17" i="13"/>
  <c r="F29" i="14"/>
  <c r="H28" i="15"/>
  <c r="I29" i="15"/>
  <c r="L21" i="13"/>
  <c r="G18" i="15"/>
  <c r="D14" i="14"/>
  <c r="K27" i="15"/>
  <c r="R15" i="13"/>
  <c r="L17" i="15"/>
  <c r="R16" i="13"/>
  <c r="C20" i="13"/>
  <c r="C23" i="14"/>
  <c r="M26" i="15"/>
  <c r="G9" i="15"/>
  <c r="F11" i="15"/>
  <c r="G11" i="15"/>
  <c r="F11" i="16"/>
  <c r="J14" i="14"/>
  <c r="C27" i="16"/>
  <c r="C29" i="13"/>
  <c r="N13" i="13"/>
  <c r="B17" i="14"/>
  <c r="E18" i="15"/>
  <c r="O13" i="15"/>
  <c r="E20" i="15"/>
  <c r="B28" i="13"/>
  <c r="B19" i="14"/>
  <c r="Q28" i="13"/>
  <c r="F24" i="15"/>
  <c r="B18" i="14"/>
  <c r="J20" i="15"/>
  <c r="C11" i="15"/>
  <c r="D27" i="13"/>
  <c r="P15" i="13"/>
  <c r="D10" i="14"/>
  <c r="O26" i="13"/>
  <c r="N24" i="15"/>
  <c r="K21" i="13"/>
  <c r="F20" i="15"/>
  <c r="I12" i="14"/>
  <c r="C15" i="14"/>
  <c r="R9" i="13"/>
  <c r="G15" i="15"/>
  <c r="E10" i="13"/>
  <c r="F22" i="14"/>
  <c r="F26" i="15"/>
  <c r="H14" i="13"/>
  <c r="H25" i="15"/>
  <c r="D19" i="13"/>
  <c r="J27" i="13"/>
  <c r="J7" i="15"/>
  <c r="Q25" i="13"/>
  <c r="E13" i="15"/>
  <c r="G20" i="15"/>
  <c r="B18" i="13"/>
  <c r="J21" i="13"/>
  <c r="H12" i="14"/>
  <c r="D22" i="13"/>
  <c r="J23" i="15"/>
  <c r="C12" i="14"/>
  <c r="E8" i="13"/>
  <c r="L11" i="15"/>
  <c r="F8" i="16"/>
  <c r="M16" i="13"/>
  <c r="I15" i="15"/>
  <c r="H9" i="15"/>
  <c r="L28" i="15"/>
  <c r="N17" i="13"/>
  <c r="I29" i="13"/>
  <c r="J30" i="13"/>
  <c r="K30" i="13"/>
  <c r="E15" i="16"/>
  <c r="J22" i="13"/>
  <c r="B24" i="15"/>
  <c r="H6" i="14"/>
  <c r="F19" i="14"/>
  <c r="L8" i="13"/>
  <c r="F16" i="16"/>
  <c r="G29" i="13"/>
  <c r="M18" i="13"/>
  <c r="B21" i="16"/>
  <c r="H14" i="14"/>
  <c r="B24" i="16"/>
  <c r="K21" i="15"/>
  <c r="M9" i="15"/>
  <c r="O20" i="13"/>
  <c r="J7" i="13"/>
  <c r="B26" i="13"/>
  <c r="J12" i="14"/>
  <c r="F16" i="15"/>
  <c r="M23" i="13"/>
  <c r="G19" i="13"/>
  <c r="H13" i="14"/>
  <c r="E12" i="15"/>
  <c r="H24" i="13"/>
  <c r="G10" i="14"/>
  <c r="C29" i="15"/>
  <c r="K11" i="13"/>
  <c r="N7" i="13"/>
  <c r="D18" i="15"/>
  <c r="J8" i="13"/>
  <c r="B21" i="15"/>
  <c r="J6" i="15"/>
  <c r="I21" i="14"/>
  <c r="F20" i="13"/>
  <c r="G19" i="14"/>
  <c r="H22" i="15"/>
  <c r="R19" i="13"/>
  <c r="O21" i="15"/>
  <c r="I26" i="15"/>
  <c r="L13" i="13"/>
  <c r="H7" i="13"/>
  <c r="E17" i="16"/>
  <c r="B18" i="15"/>
  <c r="H25" i="14"/>
  <c r="G12" i="13"/>
  <c r="F13" i="16"/>
  <c r="M14" i="13"/>
  <c r="N10" i="13"/>
  <c r="E23" i="15"/>
  <c r="D24" i="13"/>
  <c r="R25" i="13"/>
  <c r="M28" i="15"/>
  <c r="H26" i="13"/>
  <c r="M10" i="15"/>
  <c r="F15" i="13"/>
  <c r="H30" i="13"/>
  <c r="K22" i="13"/>
  <c r="G20" i="13"/>
  <c r="C30" i="13"/>
  <c r="N27" i="15"/>
  <c r="P24" i="13"/>
  <c r="M11" i="13"/>
  <c r="J13" i="14"/>
  <c r="H16" i="13"/>
  <c r="C7" i="13"/>
  <c r="M26" i="13"/>
  <c r="H9" i="13"/>
  <c r="C25" i="16"/>
  <c r="G16" i="14"/>
  <c r="F18" i="16"/>
  <c r="P30" i="13"/>
  <c r="I14" i="14"/>
  <c r="F21" i="15"/>
  <c r="Q22" i="13"/>
  <c r="C7" i="15"/>
  <c r="H15" i="13"/>
  <c r="H27" i="13"/>
  <c r="O16" i="13"/>
  <c r="L16" i="15"/>
  <c r="F26" i="16"/>
  <c r="D21" i="13"/>
  <c r="C23" i="15"/>
  <c r="G26" i="13"/>
  <c r="J26" i="13"/>
  <c r="J29" i="14"/>
  <c r="N21" i="15"/>
  <c r="G24" i="13"/>
  <c r="L26" i="13"/>
  <c r="L23" i="15"/>
  <c r="K20" i="15"/>
  <c r="F7" i="15"/>
  <c r="B22" i="15"/>
  <c r="L15" i="15"/>
  <c r="Q14" i="13"/>
  <c r="D25" i="13"/>
  <c r="G18" i="14"/>
  <c r="C16" i="13"/>
  <c r="D24" i="15"/>
  <c r="J14" i="13"/>
  <c r="N7" i="15"/>
  <c r="C22" i="15"/>
  <c r="L14" i="15"/>
  <c r="O21" i="13"/>
  <c r="G23" i="14"/>
  <c r="I10" i="14"/>
  <c r="O26" i="15"/>
  <c r="I20" i="13"/>
  <c r="F26" i="14"/>
  <c r="C14" i="13"/>
  <c r="E26" i="15"/>
  <c r="L8" i="15"/>
  <c r="G22" i="14"/>
  <c r="N28" i="13"/>
  <c r="L25" i="15"/>
  <c r="J9" i="14"/>
  <c r="C27" i="14"/>
  <c r="N27" i="13"/>
  <c r="L9" i="13"/>
  <c r="K26" i="13"/>
  <c r="N9" i="13"/>
  <c r="I14" i="15"/>
  <c r="F14" i="13"/>
  <c r="E16" i="15"/>
  <c r="D27" i="15"/>
  <c r="O29" i="13"/>
  <c r="J9" i="13"/>
  <c r="J28" i="14"/>
  <c r="J12" i="13"/>
  <c r="G7" i="13"/>
  <c r="G24" i="14"/>
  <c r="M21" i="15"/>
  <c r="G10" i="13"/>
  <c r="J11" i="14"/>
  <c r="N20" i="13"/>
  <c r="N15" i="15"/>
  <c r="P10" i="13"/>
  <c r="R14" i="13"/>
  <c r="R23" i="13"/>
  <c r="D17" i="13"/>
  <c r="O30" i="13"/>
  <c r="K15" i="15"/>
  <c r="G8" i="15"/>
  <c r="P13" i="13"/>
  <c r="R30" i="13"/>
  <c r="G7" i="15"/>
  <c r="N26" i="15"/>
  <c r="L30" i="13"/>
  <c r="B27" i="16"/>
  <c r="D20" i="13"/>
  <c r="E26" i="13"/>
  <c r="J10" i="15"/>
  <c r="L24" i="13"/>
  <c r="L23" i="13"/>
  <c r="I21" i="15"/>
  <c r="B11" i="16"/>
  <c r="H19" i="14"/>
  <c r="H12" i="13"/>
  <c r="B22" i="14"/>
  <c r="N12" i="13"/>
  <c r="D17" i="15"/>
  <c r="D25" i="15"/>
  <c r="F10" i="15"/>
  <c r="K16" i="15"/>
  <c r="J16" i="13"/>
  <c r="M29" i="15"/>
  <c r="G27" i="13"/>
  <c r="M11" i="15"/>
  <c r="E9" i="13"/>
  <c r="E12" i="13"/>
  <c r="M22" i="15"/>
  <c r="H29" i="14"/>
  <c r="Q13" i="13"/>
  <c r="I24" i="15"/>
  <c r="E29" i="16"/>
  <c r="M13" i="15"/>
  <c r="N16" i="15"/>
  <c r="N10" i="15"/>
  <c r="F17" i="14"/>
  <c r="R13" i="13"/>
  <c r="D30" i="13"/>
  <c r="J28" i="15"/>
  <c r="L18" i="13"/>
  <c r="B19" i="13"/>
  <c r="E29" i="13"/>
  <c r="C28" i="16"/>
  <c r="P26" i="13"/>
  <c r="D6" i="15"/>
  <c r="H10" i="14"/>
  <c r="B23" i="14"/>
  <c r="B27" i="15"/>
  <c r="K23" i="13"/>
  <c r="M17" i="15"/>
  <c r="F13" i="13"/>
  <c r="J27" i="14"/>
  <c r="B16" i="15"/>
  <c r="E14" i="16"/>
  <c r="H11" i="15"/>
  <c r="F10" i="14"/>
  <c r="F17" i="16"/>
  <c r="R21" i="13"/>
  <c r="I28" i="13"/>
  <c r="H24" i="15"/>
  <c r="E24" i="16"/>
  <c r="D7" i="15"/>
  <c r="K17" i="15"/>
  <c r="H27" i="15"/>
  <c r="O16" i="15"/>
  <c r="F19" i="13"/>
  <c r="B13" i="16"/>
  <c r="R7" i="13"/>
  <c r="N19" i="13"/>
  <c r="C15" i="13"/>
  <c r="P22" i="13"/>
  <c r="C25" i="13"/>
  <c r="P9" i="13"/>
  <c r="E15" i="15"/>
  <c r="H6" i="15"/>
  <c r="I9" i="14"/>
  <c r="H18" i="14"/>
  <c r="B19" i="16"/>
  <c r="E23" i="13"/>
  <c r="B20" i="15"/>
  <c r="N12" i="15"/>
  <c r="G17" i="14"/>
  <c r="M13" i="13"/>
  <c r="F16" i="14"/>
  <c r="M9" i="13"/>
  <c r="O10" i="13"/>
  <c r="M29" i="13"/>
  <c r="F25" i="14"/>
  <c r="G9" i="14"/>
  <c r="M12" i="13"/>
  <c r="F14" i="16"/>
  <c r="B29" i="14"/>
  <c r="D19" i="15"/>
  <c r="D26" i="14"/>
  <c r="E18" i="13"/>
  <c r="E8" i="15"/>
  <c r="D15" i="14"/>
  <c r="L19" i="13"/>
  <c r="C29" i="16"/>
  <c r="C8" i="14"/>
  <c r="K18" i="13"/>
  <c r="K19" i="13"/>
  <c r="I17" i="13"/>
  <c r="J9" i="15"/>
  <c r="D21" i="14"/>
  <c r="B14" i="16"/>
  <c r="B23" i="16"/>
  <c r="B17" i="15"/>
  <c r="F13" i="14"/>
  <c r="G20" i="14"/>
  <c r="B21" i="13"/>
  <c r="F27" i="16"/>
  <c r="I10" i="13"/>
  <c r="O23" i="15"/>
  <c r="L16" i="13"/>
  <c r="D20" i="15"/>
  <c r="P12" i="13"/>
  <c r="E22" i="16"/>
  <c r="C23" i="13"/>
  <c r="E15" i="13"/>
  <c r="I13" i="14"/>
  <c r="J20" i="13"/>
  <c r="E20" i="16"/>
  <c r="K28" i="13"/>
  <c r="C14" i="14"/>
  <c r="H8" i="13"/>
  <c r="F6" i="15"/>
  <c r="C7" i="14"/>
  <c r="O28" i="13"/>
  <c r="D16" i="15"/>
  <c r="H18" i="13"/>
  <c r="C23" i="16"/>
  <c r="B26" i="15"/>
  <c r="L26" i="15"/>
  <c r="C10" i="16"/>
  <c r="I30" i="13"/>
  <c r="B13" i="14"/>
  <c r="C11" i="14"/>
  <c r="O13" i="13"/>
  <c r="B23" i="15"/>
  <c r="D26" i="13"/>
  <c r="F21" i="14"/>
  <c r="Q19" i="13"/>
  <c r="Q10" i="13"/>
  <c r="B17" i="13"/>
  <c r="K13" i="13"/>
  <c r="I15" i="13"/>
  <c r="H15" i="14"/>
  <c r="N11" i="13"/>
  <c r="P17" i="13"/>
  <c r="J25" i="15"/>
  <c r="E6" i="16"/>
  <c r="G25" i="15"/>
  <c r="F6" i="16"/>
  <c r="C14" i="16"/>
  <c r="J19" i="14"/>
  <c r="D9" i="13"/>
  <c r="B20" i="14"/>
  <c r="H10" i="15"/>
  <c r="L21" i="15"/>
  <c r="H13" i="13"/>
  <c r="P29" i="13"/>
  <c r="N25" i="15"/>
  <c r="C25" i="14"/>
  <c r="C7" i="16"/>
  <c r="K25" i="15"/>
  <c r="F11" i="14"/>
  <c r="J14" i="15"/>
  <c r="K12" i="13"/>
  <c r="C24" i="14"/>
  <c r="I22" i="15"/>
  <c r="B12" i="15"/>
  <c r="H9" i="14"/>
  <c r="C26" i="16"/>
  <c r="L14" i="13"/>
  <c r="B18" i="16"/>
  <c r="I25" i="15"/>
  <c r="K11" i="15"/>
  <c r="D29" i="13"/>
  <c r="B26" i="16"/>
  <c r="N16" i="13"/>
  <c r="C17" i="15"/>
  <c r="C18" i="13"/>
  <c r="R28" i="13"/>
  <c r="C14" i="15"/>
  <c r="K25" i="13"/>
  <c r="C9" i="15"/>
  <c r="B24" i="14"/>
  <c r="I29" i="14"/>
  <c r="L29" i="15"/>
  <c r="D21" i="15"/>
  <c r="E17" i="15"/>
  <c r="G16" i="15"/>
  <c r="B7" i="14"/>
  <c r="N25" i="13"/>
  <c r="P20" i="13"/>
  <c r="E20" i="13"/>
  <c r="J11" i="15"/>
  <c r="O24" i="15"/>
  <c r="K17" i="13"/>
  <c r="H14" i="15"/>
  <c r="I19" i="15"/>
  <c r="O29" i="15"/>
  <c r="B17" i="16"/>
  <c r="Q16" i="13"/>
  <c r="J10" i="13"/>
  <c r="I24" i="14"/>
  <c r="N26" i="13"/>
  <c r="I18" i="15"/>
  <c r="B19" i="15"/>
  <c r="M25" i="15"/>
  <c r="C8" i="16"/>
  <c r="F7" i="13"/>
  <c r="B25" i="13"/>
  <c r="M24" i="15"/>
  <c r="C29" i="14"/>
  <c r="R26" i="13"/>
  <c r="G28" i="13"/>
  <c r="P25" i="13"/>
  <c r="M19" i="15"/>
  <c r="C15" i="15"/>
  <c r="F22" i="15"/>
  <c r="C9" i="14"/>
  <c r="B15" i="16"/>
  <c r="G14" i="15"/>
  <c r="R10" i="13"/>
  <c r="B8" i="15"/>
  <c r="B14" i="13"/>
  <c r="B11" i="13"/>
  <c r="L12" i="15"/>
  <c r="O27" i="15"/>
  <c r="F28" i="14"/>
  <c r="I8" i="14"/>
  <c r="G6" i="15"/>
  <c r="D7" i="13"/>
  <c r="J26" i="15"/>
  <c r="M28" i="13"/>
  <c r="B9" i="16"/>
  <c r="F20" i="16"/>
  <c r="G22" i="13"/>
  <c r="B6" i="16"/>
  <c r="N29" i="13"/>
  <c r="R22" i="13"/>
  <c r="C17" i="16"/>
  <c r="K29" i="13"/>
  <c r="C19" i="14"/>
  <c r="C27" i="15"/>
  <c r="I20" i="15"/>
  <c r="K15" i="13"/>
  <c r="N17" i="15"/>
  <c r="J18" i="14"/>
  <c r="H25" i="13"/>
  <c r="E11" i="16"/>
  <c r="F12" i="16"/>
  <c r="E28" i="13"/>
  <c r="G25" i="13"/>
  <c r="B7" i="13"/>
  <c r="K6" i="15"/>
  <c r="K14" i="13"/>
  <c r="I27" i="13"/>
  <c r="K9" i="13"/>
  <c r="D19" i="14"/>
  <c r="E9" i="16"/>
  <c r="B10" i="15"/>
  <c r="O6" i="15"/>
  <c r="J17" i="13"/>
  <c r="B26" i="14"/>
  <c r="D14" i="13"/>
  <c r="O27" i="13"/>
  <c r="K18" i="15"/>
  <c r="M27" i="13"/>
  <c r="H16" i="15"/>
  <c r="C8" i="15"/>
  <c r="C6" i="14"/>
  <c r="I18" i="13"/>
  <c r="B28" i="15"/>
  <c r="H20" i="14"/>
  <c r="K24" i="15"/>
  <c r="J10" i="14"/>
  <c r="Q17" i="13"/>
  <c r="C28" i="13"/>
  <c r="F14" i="14"/>
  <c r="D14" i="15"/>
  <c r="L20" i="15"/>
  <c r="B30" i="13"/>
  <c r="F13" i="15"/>
  <c r="G14" i="13"/>
  <c r="I13" i="15"/>
  <c r="H22" i="14"/>
  <c r="E22" i="15"/>
  <c r="N11" i="15"/>
  <c r="C28" i="14"/>
  <c r="C22" i="16"/>
  <c r="E28" i="16"/>
  <c r="F12" i="14"/>
  <c r="F25" i="13"/>
  <c r="B8" i="16"/>
  <c r="G15" i="14"/>
  <c r="P7" i="13"/>
  <c r="C6" i="15"/>
  <c r="I22" i="13"/>
  <c r="B23" i="13"/>
  <c r="K9" i="15"/>
  <c r="C19" i="16"/>
  <c r="I23" i="14"/>
  <c r="G29" i="15"/>
  <c r="H23" i="14"/>
  <c r="M25" i="13"/>
  <c r="H10" i="13"/>
  <c r="J22" i="14"/>
  <c r="B15" i="13"/>
  <c r="O8" i="15"/>
  <c r="I10" i="15"/>
  <c r="F24" i="14"/>
  <c r="I27" i="14"/>
  <c r="H27" i="14"/>
  <c r="O7" i="15"/>
  <c r="N15" i="13"/>
  <c r="Q23" i="13"/>
  <c r="O25" i="13"/>
  <c r="F25" i="16"/>
  <c r="F19" i="16"/>
  <c r="J15" i="15"/>
  <c r="F22" i="16"/>
  <c r="I15" i="14"/>
  <c r="I20" i="14"/>
  <c r="D8" i="14"/>
  <c r="C16" i="15"/>
  <c r="K8" i="15"/>
  <c r="L19" i="15"/>
  <c r="M7" i="13"/>
  <c r="I18" i="14"/>
  <c r="J22" i="15"/>
  <c r="C27" i="13"/>
  <c r="K24" i="13"/>
  <c r="R18" i="13"/>
  <c r="O15" i="15"/>
  <c r="B14" i="14"/>
  <c r="H19" i="15"/>
  <c r="G26" i="15"/>
  <c r="O7" i="13"/>
  <c r="I24" i="13"/>
  <c r="I16" i="14"/>
  <c r="M20" i="15"/>
  <c r="H28" i="13"/>
  <c r="L18" i="15"/>
  <c r="D25" i="14"/>
  <c r="C24" i="16"/>
  <c r="D8" i="15"/>
  <c r="E21" i="16"/>
  <c r="J18" i="15"/>
  <c r="E14" i="15"/>
  <c r="E16" i="16"/>
  <c r="D17" i="14"/>
  <c r="E25" i="16"/>
  <c r="B27" i="13"/>
  <c r="K19" i="15"/>
  <c r="G15" i="13"/>
  <c r="B29" i="15"/>
  <c r="C11" i="13"/>
  <c r="N6" i="15"/>
  <c r="C26" i="14"/>
  <c r="P28" i="13"/>
  <c r="J29" i="15"/>
  <c r="M17" i="13"/>
  <c r="K8" i="13"/>
  <c r="Q26" i="13"/>
  <c r="B13" i="13"/>
  <c r="J15" i="14"/>
  <c r="H17" i="13"/>
  <c r="F7" i="14"/>
  <c r="K7" i="13"/>
  <c r="E27" i="13"/>
  <c r="D10" i="15"/>
  <c r="C11" i="16"/>
  <c r="C21" i="14"/>
  <c r="D12" i="13"/>
  <c r="R11" i="13"/>
  <c r="D13" i="14"/>
  <c r="G12" i="14"/>
  <c r="O17" i="15"/>
  <c r="C6" i="16"/>
  <c r="F17" i="13"/>
  <c r="G7" i="14"/>
  <c r="G23" i="13"/>
  <c r="K27" i="13"/>
  <c r="O18" i="15"/>
  <c r="R27" i="13"/>
  <c r="G14" i="14"/>
  <c r="I27" i="15"/>
  <c r="E21" i="15"/>
  <c r="O19" i="15"/>
  <c r="I23" i="13"/>
  <c r="D29" i="14"/>
  <c r="K20" i="13"/>
  <c r="L22" i="13"/>
  <c r="E11" i="15"/>
  <c r="J19" i="13"/>
  <c r="I11" i="14"/>
  <c r="B28" i="16"/>
  <c r="J16" i="14"/>
  <c r="C19" i="13"/>
  <c r="G21" i="13"/>
  <c r="Q7" i="13"/>
  <c r="D13" i="13"/>
  <c r="H21" i="15"/>
  <c r="B27" i="14"/>
  <c r="H28" i="14"/>
  <c r="C10" i="14"/>
  <c r="Q8" i="13"/>
  <c r="C18" i="15"/>
  <c r="G6" i="14"/>
  <c r="N29" i="15"/>
  <c r="F15" i="16"/>
  <c r="D28" i="13"/>
  <c r="E10" i="15"/>
  <c r="E25" i="15"/>
  <c r="M20" i="13"/>
  <c r="I21" i="13"/>
  <c r="I19" i="14"/>
  <c r="E21" i="13"/>
  <c r="H24" i="14"/>
  <c r="P14" i="13"/>
  <c r="J25" i="14"/>
  <c r="H22" i="13"/>
  <c r="G21" i="15"/>
  <c r="E28" i="15"/>
  <c r="C20" i="15"/>
  <c r="H17" i="15"/>
  <c r="K10" i="13"/>
  <c r="G24" i="15"/>
  <c r="G8" i="13"/>
  <c r="F17" i="15"/>
  <c r="F28" i="13"/>
  <c r="O23" i="13"/>
  <c r="F22" i="13"/>
  <c r="Q27" i="13"/>
  <c r="Q24" i="13"/>
  <c r="F26" i="13"/>
  <c r="M15" i="13"/>
  <c r="R17" i="13"/>
  <c r="F6" i="14"/>
  <c r="D11" i="14"/>
  <c r="N9" i="15"/>
  <c r="C19" i="15"/>
  <c r="G29" i="14"/>
  <c r="N22" i="13"/>
  <c r="D18" i="13"/>
  <c r="N30" i="13"/>
  <c r="I26" i="13"/>
  <c r="H8" i="14"/>
  <c r="I19" i="13"/>
  <c r="H12" i="15"/>
  <c r="M12" i="15"/>
  <c r="D13" i="15"/>
  <c r="N28" i="15"/>
  <c r="O22" i="13"/>
  <c r="I22" i="14"/>
  <c r="E9" i="15"/>
  <c r="M7" i="15"/>
  <c r="F12" i="15"/>
  <c r="L28" i="13"/>
  <c r="E23" i="16"/>
  <c r="N8" i="15"/>
  <c r="D16" i="14"/>
  <c r="H19" i="13"/>
  <c r="K29" i="15"/>
  <c r="B11" i="15"/>
  <c r="C13" i="13"/>
  <c r="E14" i="13"/>
  <c r="K26" i="15"/>
  <c r="I7" i="13"/>
  <c r="F29" i="13"/>
  <c r="O25" i="15"/>
  <c r="F10" i="13"/>
  <c r="D28" i="15"/>
  <c r="I28" i="14"/>
  <c r="H20" i="13"/>
  <c r="C10" i="15"/>
  <c r="H18" i="15"/>
  <c r="B7" i="15"/>
  <c r="H15" i="15"/>
  <c r="D15" i="15"/>
  <c r="B9" i="14"/>
  <c r="K12" i="15"/>
  <c r="D23" i="15"/>
  <c r="G22" i="15"/>
  <c r="C13" i="15"/>
  <c r="K16" i="13"/>
  <c r="F7" i="16"/>
  <c r="M8" i="15"/>
  <c r="O17" i="13"/>
  <c r="C22" i="13"/>
  <c r="G23" i="15"/>
  <c r="B16" i="13"/>
  <c r="F18" i="14"/>
  <c r="C24" i="15"/>
  <c r="I17" i="14"/>
  <c r="B6" i="15"/>
  <c r="F9" i="15"/>
  <c r="G8" i="14"/>
  <c r="E24" i="15"/>
  <c r="E24" i="13"/>
  <c r="M23" i="15"/>
  <c r="G26" i="14"/>
  <c r="I12" i="13"/>
  <c r="R8" i="13"/>
  <c r="D10" i="13"/>
  <c r="O28" i="15"/>
  <c r="O12" i="13"/>
  <c r="C16" i="16"/>
  <c r="O19" i="13"/>
  <c r="B22" i="13"/>
  <c r="K22" i="15"/>
  <c r="B10" i="13"/>
  <c r="F28" i="15"/>
  <c r="B29" i="16"/>
  <c r="F15" i="14"/>
  <c r="J6" i="14"/>
  <c r="B7" i="16"/>
  <c r="G10" i="15"/>
  <c r="B162" i="12" a="1"/>
  <c r="D11" i="13"/>
  <c r="B15" i="14"/>
  <c r="O14" i="13"/>
  <c r="H11" i="13"/>
  <c r="E19" i="15"/>
  <c r="F21" i="13"/>
  <c r="F21" i="16"/>
  <c r="F27" i="13"/>
  <c r="F9" i="16"/>
  <c r="L10" i="13"/>
  <c r="D9" i="15"/>
  <c r="N8" i="13"/>
  <c r="G11" i="14"/>
  <c r="L15" i="13"/>
  <c r="E13" i="16"/>
  <c r="I23" i="15"/>
  <c r="D22" i="14"/>
  <c r="K28" i="15"/>
  <c r="F29" i="16"/>
  <c r="J18" i="13"/>
  <c r="B24" i="13"/>
  <c r="E7" i="13"/>
  <c r="E18" i="16"/>
  <c r="C24" i="13"/>
  <c r="G19" i="15"/>
  <c r="O11" i="13"/>
  <c r="G28" i="15"/>
  <c r="J24" i="13"/>
  <c r="J7" i="14"/>
  <c r="F23" i="15"/>
  <c r="D23" i="13"/>
  <c r="L27" i="13"/>
  <c r="B21" i="14"/>
  <c r="J24" i="14"/>
  <c r="O15" i="13"/>
  <c r="I7" i="15"/>
  <c r="D12" i="15"/>
  <c r="D7" i="14"/>
  <c r="C26" i="13"/>
  <c r="N13" i="15"/>
  <c r="L24" i="15"/>
  <c r="C22" i="14"/>
  <c r="D8" i="13"/>
  <c r="D16" i="13"/>
  <c r="N22" i="15"/>
  <c r="J29" i="13"/>
  <c r="F23" i="16"/>
  <c r="B8" i="13"/>
  <c r="E11" i="13"/>
  <c r="D29" i="15"/>
  <c r="B13" i="15"/>
  <c r="L12" i="13"/>
  <c r="P16" i="13"/>
  <c r="G28" i="14"/>
  <c r="G18" i="13"/>
  <c r="Q29" i="13"/>
  <c r="B25" i="14"/>
  <c r="D11" i="15"/>
  <c r="B8" i="14"/>
  <c r="J26" i="14"/>
  <c r="H26" i="14"/>
  <c r="K14" i="15"/>
  <c r="I7" i="14"/>
  <c r="G27" i="14"/>
  <c r="F18" i="13"/>
  <c r="H26" i="15"/>
  <c r="N19" i="15"/>
  <c r="E8" i="16"/>
  <c r="M16" i="15"/>
  <c r="B12" i="14"/>
  <c r="R20" i="13"/>
  <c r="L13" i="15"/>
  <c r="B16" i="14"/>
  <c r="H23" i="15"/>
  <c r="O20" i="15"/>
  <c r="M18" i="15"/>
  <c r="J27" i="15"/>
  <c r="B10" i="14"/>
  <c r="D28" i="14"/>
  <c r="F15" i="15"/>
  <c r="F9" i="14"/>
  <c r="G25" i="14"/>
  <c r="C20" i="14"/>
  <c r="J25" i="13"/>
  <c r="M10" i="13"/>
  <c r="H7" i="14"/>
  <c r="I9" i="13"/>
  <c r="O9" i="13"/>
  <c r="I16" i="13"/>
  <c r="F16" i="13"/>
  <c r="F8" i="15"/>
  <c r="M6" i="15"/>
  <c r="N23" i="15"/>
  <c r="Q21" i="13"/>
  <c r="H21" i="14"/>
  <c r="F27" i="15"/>
  <c r="M21" i="13"/>
  <c r="J24" i="15"/>
  <c r="Q11" i="13"/>
  <c r="C9" i="16"/>
  <c r="D15" i="13"/>
  <c r="C12" i="16"/>
  <c r="H29" i="15"/>
  <c r="E30" i="13"/>
  <c r="L27" i="15"/>
  <c r="B12" i="13"/>
  <c r="M19" i="13"/>
  <c r="I8" i="15"/>
  <c r="P18" i="13"/>
  <c r="K10" i="15"/>
  <c r="B11" i="14"/>
  <c r="D18" i="14"/>
  <c r="J19" i="15"/>
  <c r="N18" i="15"/>
  <c r="J17" i="15"/>
  <c r="J12" i="15"/>
  <c r="F30" i="13"/>
  <c r="Q18" i="13"/>
  <c r="M14" i="15"/>
  <c r="B29" i="13"/>
  <c r="C13" i="16"/>
  <c r="E7" i="16"/>
  <c r="E25" i="13"/>
  <c r="O22" i="15"/>
  <c r="B20" i="16"/>
  <c r="N18" i="13"/>
  <c r="F9" i="13"/>
  <c r="F24" i="16"/>
  <c r="C8" i="13"/>
  <c r="O18" i="13"/>
  <c r="G16" i="13"/>
  <c r="M22" i="13"/>
  <c r="G13" i="13"/>
  <c r="H21" i="13"/>
  <c r="F12" i="13"/>
  <c r="J13" i="13"/>
  <c r="C21" i="13"/>
  <c r="I6" i="15"/>
  <c r="E19" i="13"/>
  <c r="R24" i="13"/>
  <c r="F19" i="15"/>
  <c r="J23" i="14"/>
  <c r="B9" i="15"/>
  <c r="Q20" i="13"/>
  <c r="C21" i="16"/>
  <c r="E16" i="13"/>
  <c r="I14" i="13"/>
  <c r="C12" i="13"/>
  <c r="C20" i="16"/>
  <c r="K13" i="15"/>
  <c r="B16" i="16"/>
  <c r="P23" i="13"/>
  <c r="J15" i="13"/>
  <c r="N24" i="13"/>
  <c r="I11" i="13"/>
  <c r="D9" i="14"/>
  <c r="I13" i="13"/>
  <c r="C10" i="13"/>
  <c r="H23" i="13"/>
  <c r="H13" i="15"/>
  <c r="H8" i="15"/>
  <c r="G17" i="13"/>
  <c r="C16" i="14"/>
  <c r="D22" i="15"/>
  <c r="R12" i="13"/>
  <c r="K7" i="15"/>
  <c r="J23" i="13"/>
  <c r="H7" i="15"/>
  <c r="F29" i="15"/>
  <c r="G17" i="15"/>
  <c r="O11" i="15"/>
  <c r="K23" i="15"/>
  <c r="D12" i="14"/>
  <c r="I17" i="15"/>
  <c r="H11" i="14"/>
  <c r="C26" i="15"/>
  <c r="D26" i="15"/>
  <c r="E27" i="16"/>
  <c r="E7" i="15"/>
  <c r="F10" i="16"/>
  <c r="F25" i="15"/>
  <c r="F20" i="14"/>
  <c r="G13" i="14"/>
  <c r="M15" i="15"/>
  <c r="I16" i="15"/>
  <c r="P27" i="13"/>
  <c r="F14" i="15"/>
  <c r="C28" i="15"/>
  <c r="D6" i="14"/>
  <c r="J17" i="14"/>
  <c r="L22" i="15"/>
  <c r="Q9" i="13"/>
  <c r="J8" i="15"/>
  <c r="L17" i="13"/>
  <c r="J21" i="15"/>
  <c r="F28" i="16"/>
  <c r="B25" i="15"/>
  <c r="E26" i="16"/>
  <c r="E6" i="15"/>
  <c r="E22" i="13"/>
  <c r="G9" i="13"/>
  <c r="M30" i="13"/>
  <c r="N14" i="13"/>
  <c r="E30" i="15" l="1"/>
  <c r="F6" i="4" s="1"/>
  <c r="D30" i="14"/>
  <c r="C33" i="4" s="1"/>
  <c r="I30" i="15"/>
  <c r="F10" i="4" s="1"/>
  <c r="M30" i="15"/>
  <c r="F14" i="4" s="1"/>
  <c r="E31" i="13"/>
  <c r="C6" i="4" s="1"/>
  <c r="B162" i="12"/>
  <c r="C162" i="12"/>
  <c r="J33" i="11" s="1"/>
  <c r="J30" i="14"/>
  <c r="C39" i="4" s="1"/>
  <c r="B30" i="15"/>
  <c r="F3" i="4" s="1"/>
  <c r="I31" i="13"/>
  <c r="C10" i="4" s="1"/>
  <c r="F30" i="14"/>
  <c r="C35" i="4" s="1"/>
  <c r="G30" i="14"/>
  <c r="C36" i="4" s="1"/>
  <c r="Q31" i="13"/>
  <c r="C18" i="4" s="1"/>
  <c r="C30" i="16"/>
  <c r="F32" i="4" s="1"/>
  <c r="K31" i="13"/>
  <c r="C12" i="4" s="1"/>
  <c r="N30" i="15"/>
  <c r="F15" i="4" s="1"/>
  <c r="O31" i="13"/>
  <c r="C16" i="4" s="1"/>
  <c r="M31" i="13"/>
  <c r="C14" i="4" s="1"/>
  <c r="C30" i="15"/>
  <c r="F4" i="4" s="1"/>
  <c r="P31" i="13"/>
  <c r="C17" i="4" s="1"/>
  <c r="C30" i="14"/>
  <c r="C32" i="4" s="1"/>
  <c r="O30" i="15"/>
  <c r="F16" i="4" s="1"/>
  <c r="K30" i="15"/>
  <c r="F12" i="4" s="1"/>
  <c r="B31" i="13"/>
  <c r="C3" i="4" s="1"/>
  <c r="B30" i="16"/>
  <c r="F31" i="4" s="1"/>
  <c r="D31" i="13"/>
  <c r="C5" i="4" s="1"/>
  <c r="G30" i="15"/>
  <c r="F8" i="4" s="1"/>
  <c r="F31" i="13"/>
  <c r="C7" i="4" s="1"/>
  <c r="F30" i="16"/>
  <c r="F35" i="4" s="1"/>
  <c r="E30" i="16"/>
  <c r="F34" i="4" s="1"/>
  <c r="F30" i="15"/>
  <c r="F7" i="4" s="1"/>
  <c r="H30" i="15"/>
  <c r="F9" i="4" s="1"/>
  <c r="R31" i="13"/>
  <c r="C19" i="4" s="1"/>
  <c r="D30" i="15"/>
  <c r="F5" i="4" s="1"/>
  <c r="G31" i="13"/>
  <c r="C8" i="4" s="1"/>
  <c r="C31" i="13"/>
  <c r="C4" i="4" s="1"/>
  <c r="H31" i="13"/>
  <c r="C9" i="4" s="1"/>
  <c r="J30" i="15"/>
  <c r="F11" i="4" s="1"/>
  <c r="N31" i="13"/>
  <c r="C15" i="4" s="1"/>
  <c r="J31" i="13"/>
  <c r="C11" i="4" s="1"/>
  <c r="H30" i="14"/>
  <c r="C37" i="4" s="1"/>
  <c r="L30" i="15"/>
  <c r="F13" i="4" s="1"/>
  <c r="L31" i="13"/>
  <c r="C13" i="4" s="1"/>
  <c r="B30" i="14"/>
  <c r="C31" i="4" s="1"/>
  <c r="I30" i="14"/>
  <c r="C38" i="4" s="1"/>
</calcChain>
</file>

<file path=xl/comments1.xml><?xml version="1.0" encoding="utf-8"?>
<comments xmlns="http://schemas.openxmlformats.org/spreadsheetml/2006/main">
  <authors>
    <author>ferrellr</author>
  </authors>
  <commentList>
    <comment ref="D25" authorId="0" shapeId="0">
      <text>
        <r>
          <rPr>
            <b/>
            <sz val="8"/>
            <color indexed="81"/>
            <rFont val="Tahoma"/>
            <family val="2"/>
          </rPr>
          <t>ferrellr:</t>
        </r>
        <r>
          <rPr>
            <sz val="8"/>
            <color indexed="81"/>
            <rFont val="Tahoma"/>
            <family val="2"/>
          </rPr>
          <t xml:space="preserve">
If less than MtL Soda then use MtL Soda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ferrellr:</t>
        </r>
        <r>
          <rPr>
            <sz val="8"/>
            <color indexed="81"/>
            <rFont val="Tahoma"/>
            <family val="2"/>
          </rPr>
          <t xml:space="preserve">
Daily average from Clarification logsheet</t>
        </r>
      </text>
    </comment>
    <comment ref="F30" authorId="0" shapeId="0">
      <text>
        <r>
          <rPr>
            <b/>
            <sz val="8"/>
            <color indexed="81"/>
            <rFont val="Tahoma"/>
            <family val="2"/>
          </rPr>
          <t>ferrellr:</t>
        </r>
        <r>
          <rPr>
            <sz val="8"/>
            <color indexed="81"/>
            <rFont val="Tahoma"/>
            <family val="2"/>
          </rPr>
          <t xml:space="preserve">
Daily average from Clarification logsheet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5" savePassword="1" background="1" saveData="1">
    <dbPr connection="DSN=db0app;UID=guest;PWD=guest;SERVER=db0app;" command="SELECT LAB_ENVIRONMENTAL_V.EADATE, LAB_ENVIRONMENTAL_V.SAHOTWELL, LAB_ENVIRONMENTAL_V.SAPLANTDRAIN, LAB_ENVIRONMENTAL_V.SCATESTTANK, LAB_ENVIRONMENTAL_V.SCALTP, LAB_ENVIRONMENTAL_V.FAWASHER, LAB_ENVIRONMENTAL_V.FAMIDDLE_x000d__x000a_FROM WEBMAN.LAB_ENVIRONMENTAL_V LAB_ENVIRONMENTAL_V_x000d__x000a_WHERE (LAB_ENVIRONMENTAL_V.EADATE=?)"/>
    <parameters count="1">
      <parameter name="Enter Date" sqlType="11" parameterType="cell" refreshOnChange="1" cell="'New Daily Lab Data'!$E$1"/>
    </parameters>
  </connection>
  <connection id="2" name="Connection1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Y16 U''F')"/>
    <parameters count="1">
      <parameter name="Enter Date" sqlType="11" parameterType="cell" refreshOnChange="1" cell="'New Daily Lab Data'!$E$1"/>
    </parameters>
  </connection>
  <connection id="3" name="Connection10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77')"/>
    <parameters count="1">
      <parameter name="Enter Date" sqlType="11" parameterType="cell" refreshOnChange="1" cell="'New Daily Lab Data'!$E$1"/>
    </parameters>
  </connection>
  <connection id="4" name="Connection11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AG3')"/>
    <parameters count="1">
      <parameter name="Enter Date" sqlType="11" parameterType="cell" refreshOnChange="1" cell="'New Daily Lab Data'!$E$1"/>
    </parameters>
  </connection>
  <connection id="5" name="Connection12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T3')"/>
    <parameters count="1">
      <parameter name="Enter Date" sqlType="11" parameterType="cell" refreshOnChange="1" cell="'New Daily Lab Data'!$E$1"/>
    </parameters>
  </connection>
  <connection id="6" name="Connection13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AG1')"/>
    <parameters count="1">
      <parameter name="Enter Date" sqlType="11" parameterType="cell" refreshOnChange="1" cell="'New Daily Lab Data'!$E$1"/>
    </parameters>
  </connection>
  <connection id="7" name="Connection14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T1')"/>
    <parameters count="1">
      <parameter name="Enter Date" sqlType="11" parameterType="cell" refreshOnChange="1" cell="'New Daily Lab Data'!$E$1"/>
    </parameters>
  </connection>
  <connection id="8" name="Connection15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FST') AND (LAB_SEC_III_DATA_V.SECID='TT 52')"/>
    <parameters count="1">
      <parameter name="Enter Date" sqlType="11" parameterType="cell" refreshOnChange="1" cell="'New Daily Lab Data'!$E$1"/>
    </parameters>
  </connection>
  <connection id="9" name="Connection16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FST') AND (LAB_SEC_III_DATA_V.SECID='ST 38')"/>
    <parameters count="1">
      <parameter name="Enter Date" sqlType="11" parameterType="cell" refreshOnChange="1" cell="'New Daily Lab Data'!$E$1"/>
    </parameters>
  </connection>
  <connection id="10" name="Connection17" type="1" refreshedVersion="5" savePassword="1" background="1" saveData="1">
    <dbPr connection="DSN=db0app;UID=guest;PWD=guest;SERVER=db0app;" command="SELECT LAB_SEC1_DATA_V.SDDATE, LAB_SEC1_DATA_V.SASUF, LAB_SEC1_DATA_V.SAWUF, LAB_SEC1_DATA_V.SAMTL, LAB_SEC1_DATA_V.SAFA, LAB_SEC1_DATA_V.SABF, LAB_SEC1_DATA_V.SAOXSET, LAB_SEC1_DATA_V.SALP, LAB_SEC1_DATA_V.OABF, LAB_SEC1_DATA_V.OA1CAKE, LAB_SEC1_DATA_V.OA2CAKE, LAB_SEC1_DATA_V.OASTSEED, LAB_SEC1_DATA_V.SRPF, LAB_SEC1_DATA_V.SRS, LAB_SEC1_DATA_V.TAAA4FT, LAB_SEC1_DATA_V.TAAAMTL, LAB_SEC1_DATA_V.TAAASF, LAB_SEC1_DATA_V.TAAASUF, LAB_SEC1_DATA_V.TAAAWUF, LAB_SEC1_DATA_V.FT5, LAB_SEC1_DATA_V.GPLS1, LAB_SEC1_DATA_V.GPLS2, LAB_SEC1_DATA_V.GPLS3, LAB_SEC1_DATA_V.GPLS4_x000d__x000a_FROM WEBMAN.LAB_SEC1_DATA_V LAB_SEC1_DATA_V_x000d__x000a_WHERE (LAB_SEC1_DATA_V.SDDATE=?)"/>
    <parameters count="1">
      <parameter name="Enter Date" sqlType="11" parameterType="cell" refreshOnChange="1" cell="'New Daily Lab Data'!$E$1"/>
    </parameters>
  </connection>
  <connection id="11" name="Connection18" type="1" refreshedVersion="5" savePassword="1" background="1" saveData="1">
    <dbPr connection="DSN=db0app;UID=guest;PWD=guest;SERVER=db0app;" command="SELECT LAB_KILN_DRYER_V.KDDATE, LAB_KILN_DRYER_V.CPNZN, LAB_KILN_DRYER_V.CPSZN, LAB_KILN_DRYER_V.KFLS0600_1, LAB_KILN_DRYER_V.KFLS0600_2, LAB_KILN_DRYER_V.KFLS0600_3, LAB_KILN_DRYER_V.KFLS1800_1, LAB_KILN_DRYER_V.KFLS1800_2, LAB_KILN_DRYER_V.KFLS1800_3, LAB_KILN_DRYER_V.KDLOI2200_1, LAB_KILN_DRYER_V.KDLOI2200_2, LAB_KILN_DRYER_V.KDLOI2200_3, LAB_KILN_DRYER_V.KDLOI1000_1, LAB_KILN_DRYER_V.KDLOI1000_2, LAB_KILN_DRYER_V.KDLOI1000_3, LAB_KILN_DRYER_V.KDNA2200_1, LAB_KILN_DRYER_V.KDNA2200_2, LAB_KILN_DRYER_V.KDNA2200_3, LAB_KILN_DRYER_V.KDNA1000_1, LAB_KILN_DRYER_V.KDNA1000_2, LAB_KILN_DRYER_V.KDNA1000_3, LAB_KILN_DRYER_V.KDCA2200_1, LAB_KILN_DRYER_V.KDCA2200_2, LAB_KILN_DRYER_V.KDCA2200_3, LAB_KILN_DRYER_V.KDCA1000_1, LAB_KILN_DRYER_V.KDCA1000_2, LAB_KILN_DRYER_V.KDCA1000_3, LAB_KILN_DRYER_V.KDZN2200_1, LAB_KILN_DRYER_V.KDZN2200_2, LAB_KILN_DRYER_V.KDZN2200_3, LAB_KILN_DRYER_V.KDZN1000_1, LAB_KILN_DRYER_V.KDZN1000_2, LAB_KILN_DRYER_V.KDZN1000_3, LAB_KILN_DRYER_V.KFM, LAB_KILN_DRYER_V.KFM2, LAB_KILN_DRYER_V.KFM3_x000d__x000a_FROM WEBMAN.LAB_KILN_DRYER_V LAB_KILN_DRYER_V_x000d__x000a_WHERE (LAB_KILN_DRYER_V.KDDATE=?)"/>
    <parameters count="1">
      <parameter name="Enter Date" sqlType="11" parameterType="cell" refreshOnChange="1" cell="'New Daily Lab Data'!$E$1"/>
    </parameters>
  </connection>
  <connection id="12" name="Connection19" type="1" refreshedVersion="5" savePassword="1" background="1" saveData="1">
    <dbPr connection="DSN=db0app;UID=guest;PWD=guest;SERVER=db0app;" command="SELECT LAB_HYDRATE_ANALYSIS_V.SADATE, LAB_HYDRATE_ANALYSIS_V.HA_TYPE, LAB_HYDRATE_ANALYSIS_V.CONTAINERID, LAB_HYDRATE_ANALYSIS_V.REFLECTANCE, LAB_HYDRATE_ANALYSIS_V.LEACHSODA_x000d__x000a_FROM WEBMAN.LAB_HYDRATE_ANALYSIS_V LAB_HYDRATE_ANALYSIS_V_x000d__x000a_WHERE (LAB_HYDRATE_ANALYSIS_V.SADATE=?) AND (LAB_HYDRATE_ANALYSIS_V.HA_TYPE='DRY')"/>
    <parameters count="1">
      <parameter name="Enter Date" sqlType="11" parameterType="cell" refreshOnChange="1" cell="'New Daily Lab Data'!$E$1"/>
    </parameters>
  </connection>
  <connection id="13" name="Connection2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B7 U''F')"/>
    <parameters count="1">
      <parameter name="Enter Date" sqlType="11" parameterType="cell" refreshOnChange="1" cell="'New Daily Lab Data'!$E$1"/>
    </parameters>
  </connection>
  <connection id="14" name="Connection20" type="1" refreshedVersion="5" savePassword="1" background="1" saveData="1">
    <dbPr connection="DSN=db0app;UID=guest;PWD=guest;SERVER=db0app;" command="SELECT LAB_DAILYANALYSIS_V.DADATE, LAB_DAILYANALYSIS_V.PRODUCT, LAB_DAILYANALYSIS_V.P100, LAB_DAILYANALYSIS_V.P200, LAB_DAILYANALYSIS_V.P325, LAB_DAILYANALYSIS_V.SI, LAB_DAILYANALYSIS_V.FE, LAB_DAILYANALYSIS_V.NA, LAB_DAILYANALYSIS_V.ZN, LAB_DAILYANALYSIS_V.MN, LAB_DAILYANALYSIS_V.CA_x000d__x000a_FROM WEBMAN.LAB_DAILYANALYSIS_V LAB_DAILYANALYSIS_V_x000d__x000a_WHERE (LAB_DAILYANALYSIS_V.DADATE=?) AND (LAB_DAILYANALYSIS_V.PRODUCT='HYDRATE')"/>
    <parameters count="1">
      <parameter name="Enter Date" sqlType="11" parameterType="cell" refreshOnChange="1" cell="'New Daily Lab Data'!$H$1"/>
    </parameters>
  </connection>
  <connection id="15" name="Connection21" type="1" refreshedVersion="5" savePassword="1" background="1" saveData="1">
    <dbPr connection="DSN=db0app;UID=guest;PWD=guest;SERVER=db0app;" command="SELECT LAB_DAILYANALYSIS_V.DADATE, LAB_DAILYANALYSIS_V.PRODUCT, LAB_DAILYANALYSIS_V.LOI, LAB_DAILYANALYSIS_V.P100, LAB_DAILYANALYSIS_V.P200, LAB_DAILYANALYSIS_V.P325, LAB_DAILYANALYSIS_V.BULKDENS, LAB_DAILYANALYSIS_V.SI, LAB_DAILYANALYSIS_V.FE, LAB_DAILYANALYSIS_V.NA, LAB_DAILYANALYSIS_V.ZN, LAB_DAILYANALYSIS_V.MN, LAB_DAILYANALYSIS_V.CA_x000d__x000a_FROM WEBMAN.LAB_DAILYANALYSIS_V LAB_DAILYANALYSIS_V_x000d__x000a_WHERE (LAB_DAILYANALYSIS_V.DADATE=?) AND (LAB_DAILYANALYSIS_V.PRODUCT='ALUMINA')"/>
    <parameters count="1">
      <parameter name="Enter Date" sqlType="11" parameterType="cell" refreshOnChange="1" cell="'New Daily Lab Data'!$H$1"/>
    </parameters>
  </connection>
  <connection id="16" name="Connection22" type="1" refreshedVersion="5" savePassword="1" background="1" saveData="1">
    <dbPr connection="DSN=db0app;UID=guest;PWD=guest;SERVER=db0app;" command="SELECT LAB_CHARGECONTROL_V.CCROUND, LAB_CHARGECONTROL_V.CCDATE, LAB_CHARGECONTROL_V.PLANTCS, LAB_CHARGECONTROL_V.TESTTANKCAUSTIC, LAB_CHARGECONTROL_V.TESTTANKAC, LAB_CHARGECONTROL_V.SETTLERFEEDCAUSTIC, LAB_CHARGECONTROL_V.SETTLERFEEDAC, LAB_CHARGECONTROL_V.PRESSFEEDCAUSTIC, LAB_CHARGECONTROL_V.PRESSFEEDAC, LAB_CHARGECONTROL_V.LTPCAUSTIC, LAB_CHARGECONTROL_V.LTPAC, LAB_CHARGECONTROL_V.EVAPFEEDCAUSTIC, LAB_CHARGECONTROL_V.EVAPFEEDAC, LAB_CHARGECONTROL_V.A7OVERFLOWCAUSTIC, LAB_CHARGECONTROL_V.A7OVERFLOWAC, LAB_CHARGECONTROL_V.B7OVERFLOWCAUSTIC, LAB_CHARGECONTROL_V.B7OVERFLOWAC, LAB_CHARGECONTROL_V.T1CAUSTIC, LAB_CHARGECONTROL_V.T1AC, LAB_CHARGECONTROL_V.T7CAUSTIC, LAB_CHARGECONTROL_V.T7AC, LAB_CHARGECONTROL_V.WOFCAUSTIC, LAB_CHARGECONTROL_V.WOFAC, LAB_CHARGECONTROL_V.SUFCAUSTIC, LAB_CHARGECONTROL_V.WUFSODA, LAB_CHARGECONTROL_V.SUFAC, LAB_CHARGECONTROL_V.MTLSODA, LAB_CHARGECONTROL_V.SRTSODA, LAB_CHARGECONTROL_V.PFMG, LAB_CHARGECONTROL_V.LTPAIM, LAB_CHARGECONTROL_V.CDIGDISCH, LAB_CHARGECONTROL_V.ACDIGDISCH, LAB_CHARGECONTROL_V.CEVAPDISCH, LAB_CHARGECONTROL_V.ACEVAPDISCH, LAB_CHARGECONTROL_V.CY15OVERFLOW, LAB_CHARGECONTROL_V.ACY15OVERFLOW, LAB_CHARGECONTROL_V.CY16OVERFLOW, LAB_CHARGECONTROL_V.ACY16OVERFLOW, LAB_CHARGECONTROL_V.CAG1, LAB_CHARGECONTROL_V.CAG7, LAB_CHARGECONTROL_V.ACAG1, LAB_CHARGECONTROL_V.ACAG7_x000d__x000a_FROM WEBMAN.LAB_CHARGECONTROL_V LAB_CHARGECONTROL_V_x000d__x000a_WHERE (LAB_CHARGECONTROL_V.CCDATE=?)_x000d__x000a_ORDER BY LAB_CHARGECONTROL_V.CCROUND"/>
    <parameters count="1">
      <parameter name="Enter Date" sqlType="11" parameterType="cell" refreshOnChange="1" cell="'New Daily Lab Data'!$E$1"/>
    </parameters>
  </connection>
  <connection id="17" name="Connection23" type="1" refreshedVersion="5" savePassword="1" background="1" saveData="1">
    <dbPr connection="DSN=db0app;UID=guest;PWD=guest;SERVER=db0app;" command="SELECT LAB_DAILYANALYSIS_V.CSEDS_x000d__x000a_FROM WEBMAN.LAB_DAILYANALYSIS_V LAB_DAILYANALYSIS_V_x000d__x000a_WHERE (LAB_DAILYANALYSIS_V.PRODUCT='HYDRATE') AND (LAB_DAILYANALYSIS_V.DADATE=?)"/>
    <parameters count="1">
      <parameter name="Enter Date" sqlType="11" parameterType="cell" refreshOnChange="1" cell="'New Daily Lab Data'!$E$1"/>
    </parameters>
  </connection>
  <connection id="18" name="Connection3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Y15 U''F')"/>
    <parameters count="1">
      <parameter name="Enter Date" sqlType="11" parameterType="cell" refreshOnChange="1" cell="'New Daily Lab Data'!$E$1"/>
    </parameters>
  </connection>
  <connection id="19" name="Connection4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A7 U''F')"/>
    <parameters count="1">
      <parameter name="Enter Date" sqlType="11" parameterType="cell" refreshOnChange="1" cell="'New Daily Lab Data'!$E$1"/>
    </parameters>
  </connection>
  <connection id="20" name="Connection5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Y16 O''F')"/>
    <parameters count="1">
      <parameter name="Enter Date" sqlType="11" parameterType="cell" refreshOnChange="1" cell="'New Daily Lab Data'!$E$1"/>
    </parameters>
  </connection>
  <connection id="21" name="Connection6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B7 O''F')"/>
    <parameters count="1">
      <parameter name="Enter Date" sqlType="11" parameterType="cell" refreshOnChange="1" cell="'New Daily Lab Data'!$E$1"/>
    </parameters>
  </connection>
  <connection id="22" name="Connection7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Y15 O''F')"/>
    <parameters count="1">
      <parameter name="Enter Date" sqlType="11" parameterType="cell" refreshOnChange="1" cell="'New Daily Lab Data'!$E$1"/>
    </parameters>
  </connection>
  <connection id="23" name="Connection8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NORTHD') AND (LAB_SEC_III_DATA_V.SECID='A7 O''F')"/>
    <parameters count="1">
      <parameter name="Enter Date" sqlType="11" parameterType="cell" refreshOnChange="1" cell="'New Daily Lab Data'!$E$1"/>
    </parameters>
  </connection>
  <connection id="24" name="Connection9" type="1" refreshedVersion="5" savePassword="1" background="1" saveData="1">
    <dbPr connection="DSN=db0app;UID=guest;PWD=guest;SERVER=db0app;" command="SELECT LAB_SEC_III_DATA_V.SECDATE, LAB_SEC_III_DATA_V.SECRECORD, LAB_SEC_III_DATA_V.SECID, LAB_SEC_III_DATA_V.P100, LAB_SEC_III_DATA_V.P200, LAB_SEC_III_DATA_V.P325, LAB_SEC_III_DATA_V.AC, LAB_SEC_III_DATA_V.&quot;20uM&quot;, LAB_SEC_III_DATA_V.CAUS, LAB_SEC_III_DATA_V.GPLSOL, LAB_SEC_III_DATA_V.SA_x000d__x000a_FROM WEBMAN.LAB_SEC_III_DATA_V LAB_SEC_III_DATA_V_x000d__x000a_WHERE (LAB_SEC_III_DATA_V.SECDATE=?) AND (LAB_SEC_III_DATA_V.SECRECORD='SCCP') AND (LAB_SEC_III_DATA_V.SECID='AG7')"/>
    <parameters count="1">
      <parameter name="Enter Date" sqlType="11" parameterType="cell" refreshOnChange="1" cell="'New Daily Lab Data'!$E$1"/>
    </parameters>
  </connection>
</connections>
</file>

<file path=xl/sharedStrings.xml><?xml version="1.0" encoding="utf-8"?>
<sst xmlns="http://schemas.openxmlformats.org/spreadsheetml/2006/main" count="6832" uniqueCount="2355">
  <si>
    <t>C17</t>
  </si>
  <si>
    <t>D17</t>
  </si>
  <si>
    <t>E17</t>
  </si>
  <si>
    <t>G17</t>
  </si>
  <si>
    <t>H17</t>
  </si>
  <si>
    <t>J17</t>
  </si>
  <si>
    <t>L17</t>
  </si>
  <si>
    <t>N17</t>
  </si>
  <si>
    <t>NIGHTS - HOT END</t>
  </si>
  <si>
    <t>C20</t>
  </si>
  <si>
    <t>D20</t>
  </si>
  <si>
    <t>E20</t>
  </si>
  <si>
    <t>G20</t>
  </si>
  <si>
    <t>H20</t>
  </si>
  <si>
    <t>I20</t>
  </si>
  <si>
    <t>J20</t>
  </si>
  <si>
    <t>L20</t>
  </si>
  <si>
    <t>M20</t>
  </si>
  <si>
    <t>N20</t>
  </si>
  <si>
    <t>O20</t>
  </si>
  <si>
    <t>Flue Gas, %O2</t>
  </si>
  <si>
    <t>File Date</t>
  </si>
  <si>
    <t>Caustic Transfers</t>
  </si>
  <si>
    <t>Shift Report</t>
  </si>
  <si>
    <t>Evaporation-HID (TODAY)</t>
  </si>
  <si>
    <t>Days</t>
  </si>
  <si>
    <t>Nights</t>
  </si>
  <si>
    <t>Description</t>
  </si>
  <si>
    <t>d5</t>
  </si>
  <si>
    <t>d6</t>
  </si>
  <si>
    <t>d7</t>
  </si>
  <si>
    <t>d8</t>
  </si>
  <si>
    <t>d9</t>
  </si>
  <si>
    <t>d10</t>
  </si>
  <si>
    <t>Settler 1 Mud Level Manual 0600</t>
  </si>
  <si>
    <t>Settler 1 Mud Level Manual 0800</t>
  </si>
  <si>
    <t>Settler 1 Mud Level Manual 1000</t>
  </si>
  <si>
    <t>Settler 1 Mud Level Manual 1200</t>
  </si>
  <si>
    <t>Settler 1 Mud Level Manual 1400</t>
  </si>
  <si>
    <t>Settler 1 Mud Level Manual 1600</t>
  </si>
  <si>
    <t>c5</t>
  </si>
  <si>
    <t>c6</t>
  </si>
  <si>
    <t>c7</t>
  </si>
  <si>
    <t>c8</t>
  </si>
  <si>
    <t>c9</t>
  </si>
  <si>
    <t>c10</t>
  </si>
  <si>
    <t>Settler 1 Mud Level Mud Diver 0600</t>
  </si>
  <si>
    <t>Settler 1 Mud Level Mud Diver 0800</t>
  </si>
  <si>
    <t>Settler 1 Mud Level Mud Diver 1000</t>
  </si>
  <si>
    <t>Settler 1 Mud Level Mud Diver 1200</t>
  </si>
  <si>
    <t>Settler 1 Mud Level Mud Diver 1400</t>
  </si>
  <si>
    <t>Settler 1 Mud Level Mud Diver 1600</t>
  </si>
  <si>
    <t>h5</t>
  </si>
  <si>
    <t>h6</t>
  </si>
  <si>
    <t>h7</t>
  </si>
  <si>
    <t>h8</t>
  </si>
  <si>
    <t>h9</t>
  </si>
  <si>
    <t>h10</t>
  </si>
  <si>
    <t>g5</t>
  </si>
  <si>
    <t>g6</t>
  </si>
  <si>
    <t>g7</t>
  </si>
  <si>
    <t>g8</t>
  </si>
  <si>
    <t>g9</t>
  </si>
  <si>
    <t>g10</t>
  </si>
  <si>
    <t>Settler 3 Mud Level Manual 0600</t>
  </si>
  <si>
    <t>Settler 3 Mud Level Manual 0800</t>
  </si>
  <si>
    <t>Settler 3 Mud Level Manual 1000</t>
  </si>
  <si>
    <t>Settler 3 Mud Level Manual 1200</t>
  </si>
  <si>
    <t>Settler 3 Mud Level Manual 1400</t>
  </si>
  <si>
    <t>Settler 3 Mud Level Manual 1600</t>
  </si>
  <si>
    <t>Settler 3 Mud Level Mud Diver 0600</t>
  </si>
  <si>
    <t>Settler 3 Mud Level Mud Diver 0800</t>
  </si>
  <si>
    <t>Settler 3 Mud Level Mud Diver 1000</t>
  </si>
  <si>
    <t>Settler 3 Mud Level Mud Diver 1200</t>
  </si>
  <si>
    <t>Settler 3 Mud Level Mud Diver 1400</t>
  </si>
  <si>
    <t>Settler 3 Mud Level Mud Diver 1600</t>
  </si>
  <si>
    <t>Settler 1 Mud Level Mud Diver 1800</t>
  </si>
  <si>
    <t>Settler 3 Mud Level Manual 1800</t>
  </si>
  <si>
    <t>Settler 3 Mud Level Mud Diver 1800</t>
  </si>
  <si>
    <t>Settler 1 Mud Level Manual 1800</t>
  </si>
  <si>
    <t>Settler 1 Mud Level Manual 2000</t>
  </si>
  <si>
    <t>Settler 1 Mud Level Mud Diver 2000</t>
  </si>
  <si>
    <t>Settler 3 Mud Level Manual 2000</t>
  </si>
  <si>
    <t>Settler 3 Mud Level Mud Diver 2000</t>
  </si>
  <si>
    <t>Settler 1 Mud Level Manual 2200</t>
  </si>
  <si>
    <t>Settler 1 Mud Level Mud Diver 2200</t>
  </si>
  <si>
    <t>Settler 3 Mud Level Manual 2200</t>
  </si>
  <si>
    <t>Settler 3 Mud Level Mud Diver 2200</t>
  </si>
  <si>
    <t>Settler 1 Mud Level Manual 000</t>
  </si>
  <si>
    <t>Settler 1 Mud Level Mud Diver 000</t>
  </si>
  <si>
    <t>Settler 3 Mud Level Manual 000</t>
  </si>
  <si>
    <t>Settler 3 Mud Level Mud Diver 000</t>
  </si>
  <si>
    <t>Settler 1 Mud Level Manual 200</t>
  </si>
  <si>
    <t>Settler 1 Mud Level Mud Diver 200</t>
  </si>
  <si>
    <t>Settler 3 Mud Level Manual 200</t>
  </si>
  <si>
    <t>Settler 3 Mud Level Mud Diver 200</t>
  </si>
  <si>
    <t>Settler 1 Mud Level Manual 400</t>
  </si>
  <si>
    <t>Settler 1 Mud Level Mud Diver 400</t>
  </si>
  <si>
    <t>Settler 3 Mud Level Manual 400</t>
  </si>
  <si>
    <t>Settler 3 Mud Level Mud Diver 400</t>
  </si>
  <si>
    <t>d18</t>
  </si>
  <si>
    <t>d19</t>
  </si>
  <si>
    <t>d20</t>
  </si>
  <si>
    <t>d21</t>
  </si>
  <si>
    <t>d22</t>
  </si>
  <si>
    <t>d23</t>
  </si>
  <si>
    <t>Settler 1 %Solids 0600</t>
  </si>
  <si>
    <t>Settler 1 %Solids 0800</t>
  </si>
  <si>
    <t>Settler 1 %Solids 1000</t>
  </si>
  <si>
    <t>Settler 1 %Solids 1200</t>
  </si>
  <si>
    <t>Settler 1 %Solids 1400</t>
  </si>
  <si>
    <t>Settler 1 %Solids 1600</t>
  </si>
  <si>
    <t>h18</t>
  </si>
  <si>
    <t>h19</t>
  </si>
  <si>
    <t>h20</t>
  </si>
  <si>
    <t>h21</t>
  </si>
  <si>
    <t>h22</t>
  </si>
  <si>
    <t>h23</t>
  </si>
  <si>
    <t>Settler 3 %Solids 0600</t>
  </si>
  <si>
    <t>Settler 3 %Solids 0800</t>
  </si>
  <si>
    <t>Settler 3 %Solids 1000</t>
  </si>
  <si>
    <t>Settler 3 %Solids 1200</t>
  </si>
  <si>
    <t>Settler 3 %Solids 1400</t>
  </si>
  <si>
    <t>Settler 3 %Solids 1600</t>
  </si>
  <si>
    <t>Settler 1 %Solids 1800</t>
  </si>
  <si>
    <t>Settler 1 %Solids 2000</t>
  </si>
  <si>
    <t>Settler 1 %Solids 2200</t>
  </si>
  <si>
    <t>Settler 1 %Solids 000</t>
  </si>
  <si>
    <t>Settler 1 %Solids 200</t>
  </si>
  <si>
    <t>Settler 1 %Solids 400</t>
  </si>
  <si>
    <t>Settler 3 %Solids 2000</t>
  </si>
  <si>
    <t>Settler 3 %Solids 2200</t>
  </si>
  <si>
    <t>Settler 3 %Solids 000</t>
  </si>
  <si>
    <t>Settler 3 %Solids 200</t>
  </si>
  <si>
    <t>Settler 3 %Solids 400</t>
  </si>
  <si>
    <t>Settler 3 %Solids 1800</t>
  </si>
  <si>
    <t>f45</t>
  </si>
  <si>
    <t>f46</t>
  </si>
  <si>
    <t>f47</t>
  </si>
  <si>
    <t>f48</t>
  </si>
  <si>
    <t>f49</t>
  </si>
  <si>
    <t>f50</t>
  </si>
  <si>
    <t>Settler Floc Flow 2000</t>
  </si>
  <si>
    <t>Settler Floc Flow 2200</t>
  </si>
  <si>
    <t>Settler Floc Flow 000</t>
  </si>
  <si>
    <t>Settler Floc Flow 200</t>
  </si>
  <si>
    <t>Settler Floc Flow 400</t>
  </si>
  <si>
    <t>Settler Floc Flow 1800</t>
  </si>
  <si>
    <t>Settler 1 Starch Flow 2000</t>
  </si>
  <si>
    <t>Settler 1 Starch Flow 2200</t>
  </si>
  <si>
    <t>CCDATE</t>
  </si>
  <si>
    <t>CCROUND</t>
  </si>
  <si>
    <t>PLANTCS</t>
  </si>
  <si>
    <t>TESTTANKCAUSTIC</t>
  </si>
  <si>
    <t>TESTTANKAC</t>
  </si>
  <si>
    <t>SETTLERFEEDCAUSTIC</t>
  </si>
  <si>
    <t>SETTLERFEEDAC</t>
  </si>
  <si>
    <t>PRESSFEEDCAUSTIC</t>
  </si>
  <si>
    <t>PRESSFEEDAC</t>
  </si>
  <si>
    <t>LTPCAUSTIC</t>
  </si>
  <si>
    <t>EVAPFEEDCAUSTIC</t>
  </si>
  <si>
    <t>EVAPFEEDAC</t>
  </si>
  <si>
    <t>A7OVERFLOWCAUSTIC</t>
  </si>
  <si>
    <t>A7OVERFLOWAC</t>
  </si>
  <si>
    <t>B7OVERFLOWCAUSTIC</t>
  </si>
  <si>
    <t>B7OVERFLOWAC</t>
  </si>
  <si>
    <t>T1CAUSTIC</t>
  </si>
  <si>
    <t>T7CAUSTIC</t>
  </si>
  <si>
    <t>WOFCAUSTIC</t>
  </si>
  <si>
    <t>SUFCAUSTIC</t>
  </si>
  <si>
    <t>WUFSODA</t>
  </si>
  <si>
    <t>MTLSODA</t>
  </si>
  <si>
    <t>SRTSODA</t>
  </si>
  <si>
    <t>PFMG</t>
  </si>
  <si>
    <t>LTPAIM</t>
  </si>
  <si>
    <t>CDIGDISCH</t>
  </si>
  <si>
    <t>CEVAPDISCH</t>
  </si>
  <si>
    <t>ACDIGDISCH</t>
  </si>
  <si>
    <t>ACEVAPDISCH</t>
  </si>
  <si>
    <t>CY15OVERFLOW</t>
  </si>
  <si>
    <t>ACY15OVERFLOW</t>
  </si>
  <si>
    <t>CY16OVERFLOW</t>
  </si>
  <si>
    <t>ACY16OVERFLOW</t>
  </si>
  <si>
    <t>0900</t>
  </si>
  <si>
    <t>2100</t>
  </si>
  <si>
    <t>DADATE</t>
  </si>
  <si>
    <t>EADATE</t>
  </si>
  <si>
    <t>SAHOTWELL</t>
  </si>
  <si>
    <t>SAPLANTDRAIN</t>
  </si>
  <si>
    <t>SCATESTTANK</t>
  </si>
  <si>
    <t>FAWASHER</t>
  </si>
  <si>
    <t>FAMIDDLE</t>
  </si>
  <si>
    <t>SADATE</t>
  </si>
  <si>
    <t>HA_TYPE</t>
  </si>
  <si>
    <t>CONTAINERID</t>
  </si>
  <si>
    <t>REFLECTANCE</t>
  </si>
  <si>
    <t>LEACHSODA</t>
  </si>
  <si>
    <t>KDDATE</t>
  </si>
  <si>
    <t>CPNZN</t>
  </si>
  <si>
    <t>CPSZN</t>
  </si>
  <si>
    <t>KDNA2200_1</t>
  </si>
  <si>
    <t>KDNA2200_2</t>
  </si>
  <si>
    <t>KDNA2200_3</t>
  </si>
  <si>
    <t>KDNA1000_1</t>
  </si>
  <si>
    <t>KDNA1000_2</t>
  </si>
  <si>
    <t>KDNA1000_3</t>
  </si>
  <si>
    <t>KDCA2200_1</t>
  </si>
  <si>
    <t>KDCA2200_2</t>
  </si>
  <si>
    <t>KDCA2200_3</t>
  </si>
  <si>
    <t>KDCA1000_1</t>
  </si>
  <si>
    <t>KDCA1000_2</t>
  </si>
  <si>
    <t>KDCA1000_3</t>
  </si>
  <si>
    <t>KDZN2200_1</t>
  </si>
  <si>
    <t>KDZN2200_2</t>
  </si>
  <si>
    <t>KDZN2200_3</t>
  </si>
  <si>
    <t>KDZN1000_1</t>
  </si>
  <si>
    <t>KDZN1000_2</t>
  </si>
  <si>
    <t>KDZN1000_3</t>
  </si>
  <si>
    <t>Settler 1 Starch Flow 000</t>
  </si>
  <si>
    <t>Settler 1 Starch Flow 200</t>
  </si>
  <si>
    <t>Settler 1 Starch Flow 400</t>
  </si>
  <si>
    <t>Settler 3 Starch Flow 1800</t>
  </si>
  <si>
    <t>Settler 3 Starch Flow 2000</t>
  </si>
  <si>
    <t>Settler 3 Starch Flow 2200</t>
  </si>
  <si>
    <t>Settler 3 Starch Flow 000</t>
  </si>
  <si>
    <t>Settler 3 Starch Flow 200</t>
  </si>
  <si>
    <t>Settler 3 Starch Flow 400</t>
  </si>
  <si>
    <t>Settler 1 Starch Flow 1800</t>
  </si>
  <si>
    <t>Settler 1 Starch Flow 0800</t>
  </si>
  <si>
    <t>Settler 1 Starch Flow 1000</t>
  </si>
  <si>
    <t>Settler 1 Starch Flow 1200</t>
  </si>
  <si>
    <t>Settler 1 Starch Flow 1400</t>
  </si>
  <si>
    <t>Settler 1 Starch Flow 1600</t>
  </si>
  <si>
    <t>Settler 3 Starch Flow 0600</t>
  </si>
  <si>
    <t>Settler 3 Starch Flow 0800</t>
  </si>
  <si>
    <t>Settler 3 Starch Flow 1000</t>
  </si>
  <si>
    <t>Settler 3 Starch Flow 1200</t>
  </si>
  <si>
    <t>Settler 3 Starch Flow 1400</t>
  </si>
  <si>
    <t>Settler 3 Starch Flow 1600</t>
  </si>
  <si>
    <t>Settler 1 Starch Flow 0600</t>
  </si>
  <si>
    <t>c36</t>
  </si>
  <si>
    <t>c37</t>
  </si>
  <si>
    <t>c38</t>
  </si>
  <si>
    <t>c39</t>
  </si>
  <si>
    <t>c40</t>
  </si>
  <si>
    <t>c41</t>
  </si>
  <si>
    <t>g36</t>
  </si>
  <si>
    <t>g37</t>
  </si>
  <si>
    <t>g38</t>
  </si>
  <si>
    <t>g39</t>
  </si>
  <si>
    <t>g40</t>
  </si>
  <si>
    <t>g41</t>
  </si>
  <si>
    <t>h36</t>
  </si>
  <si>
    <t>h37</t>
  </si>
  <si>
    <t>h38</t>
  </si>
  <si>
    <t>h39</t>
  </si>
  <si>
    <t>h40</t>
  </si>
  <si>
    <t>h41</t>
  </si>
  <si>
    <t>u45</t>
  </si>
  <si>
    <t>u46</t>
  </si>
  <si>
    <t>u47</t>
  </si>
  <si>
    <t>u48</t>
  </si>
  <si>
    <t>u49</t>
  </si>
  <si>
    <t>u50</t>
  </si>
  <si>
    <t>v45</t>
  </si>
  <si>
    <t>v46</t>
  </si>
  <si>
    <t>v47</t>
  </si>
  <si>
    <t>v48</t>
  </si>
  <si>
    <t>v49</t>
  </si>
  <si>
    <t>v50</t>
  </si>
  <si>
    <t>Lime Recovery Flow 0600</t>
  </si>
  <si>
    <t>Lime Recovery Flow 0800</t>
  </si>
  <si>
    <t>Lime Recovery Flow 1000</t>
  </si>
  <si>
    <t>Lime Recovery Flow 1200</t>
  </si>
  <si>
    <t>Lime Recovery Flow 1400</t>
  </si>
  <si>
    <t>Lime Recovery Flow 1600</t>
  </si>
  <si>
    <t>Lime Recovery Density 0600</t>
  </si>
  <si>
    <t>Lime Recovery Density 0800</t>
  </si>
  <si>
    <t>Lime Recovery Density 1000</t>
  </si>
  <si>
    <t>Lime Recovery Density 1200</t>
  </si>
  <si>
    <t>Lime Recovery Density 1400</t>
  </si>
  <si>
    <t>Lime Recovery Density 1600</t>
  </si>
  <si>
    <t>Lime Recovery Flow 1800</t>
  </si>
  <si>
    <t>Lime Recovery Flow 2000</t>
  </si>
  <si>
    <t>Lime Recovery Flow 2200</t>
  </si>
  <si>
    <t>Lime Recovery Flow 000</t>
  </si>
  <si>
    <t>Lime Recovery Flow 400</t>
  </si>
  <si>
    <t>Lime Recovery Density 2000</t>
  </si>
  <si>
    <t>Lime Recovery Density 2200</t>
  </si>
  <si>
    <t>Lime Recovery Density 000</t>
  </si>
  <si>
    <t>Lime Recovery Density 400</t>
  </si>
  <si>
    <t>Lime Recovery Density 1800</t>
  </si>
  <si>
    <t>Lime to Slaker 0600</t>
  </si>
  <si>
    <t>Lime to Slaker 0800</t>
  </si>
  <si>
    <t>Lime to Slaker 1000</t>
  </si>
  <si>
    <t>Lime to Slaker 1200</t>
  </si>
  <si>
    <t>Lime to Slaker 1400</t>
  </si>
  <si>
    <t>Lime to Slaker 1600</t>
  </si>
  <si>
    <t>Liquor to Slaker 0600</t>
  </si>
  <si>
    <t>Liquor to Slaker 0800</t>
  </si>
  <si>
    <t>Liquor to Slaker 1000</t>
  </si>
  <si>
    <t>Liquor to Slaker 1200</t>
  </si>
  <si>
    <t>Liquor to Slaker 1400</t>
  </si>
  <si>
    <t>Liquor to Slaker 1600</t>
  </si>
  <si>
    <t>Slaker Temp 0600</t>
  </si>
  <si>
    <t>Slaker Temp 0800</t>
  </si>
  <si>
    <t>Slaker Temp 1000</t>
  </si>
  <si>
    <t>Slaker Temp 1200</t>
  </si>
  <si>
    <t>Slaker Temp 1400</t>
  </si>
  <si>
    <t>Slaker Temp 1600</t>
  </si>
  <si>
    <t>Lime to Digestion 0600</t>
  </si>
  <si>
    <t>Lime to Digestion 0800</t>
  </si>
  <si>
    <t>Lime to Digestion 1000</t>
  </si>
  <si>
    <t>Lime to Digestion 1200</t>
  </si>
  <si>
    <t>Lime to Digestion 1400</t>
  </si>
  <si>
    <t>Lime to Digestion 1600</t>
  </si>
  <si>
    <t>o45</t>
  </si>
  <si>
    <t>o46</t>
  </si>
  <si>
    <t>o47</t>
  </si>
  <si>
    <t>o48</t>
  </si>
  <si>
    <t>o49</t>
  </si>
  <si>
    <t>o50</t>
  </si>
  <si>
    <t>p45</t>
  </si>
  <si>
    <t>p46</t>
  </si>
  <si>
    <t>p47</t>
  </si>
  <si>
    <t>p48</t>
  </si>
  <si>
    <t>p49</t>
  </si>
  <si>
    <t>p50</t>
  </si>
  <si>
    <t>q45</t>
  </si>
  <si>
    <t>q46</t>
  </si>
  <si>
    <t>q47</t>
  </si>
  <si>
    <t>q48</t>
  </si>
  <si>
    <t>q49</t>
  </si>
  <si>
    <t>q50</t>
  </si>
  <si>
    <t>r45</t>
  </si>
  <si>
    <t>r46</t>
  </si>
  <si>
    <t>r47</t>
  </si>
  <si>
    <t>r48</t>
  </si>
  <si>
    <t>r49</t>
  </si>
  <si>
    <t>r50</t>
  </si>
  <si>
    <t>Lime to Slaker 1800</t>
  </si>
  <si>
    <t>Liquor to Slaker 1800</t>
  </si>
  <si>
    <t>Slaker Temp 1800</t>
  </si>
  <si>
    <t>Lime to Digestion 1800</t>
  </si>
  <si>
    <t>Lime to Slaker 2000</t>
  </si>
  <si>
    <t>Liquor to Slaker 2000</t>
  </si>
  <si>
    <t>Slaker Temp 2000</t>
  </si>
  <si>
    <t>Lime to Digestion 2000</t>
  </si>
  <si>
    <t>Lime to Slaker 2200</t>
  </si>
  <si>
    <t>Liquor to Slaker 2200</t>
  </si>
  <si>
    <t>Slaker Temp 2200</t>
  </si>
  <si>
    <t>Lime to Digestion 2200</t>
  </si>
  <si>
    <t>Lime to Slaker 000</t>
  </si>
  <si>
    <t>Liquor to Slaker 000</t>
  </si>
  <si>
    <t>Slaker Temp 000</t>
  </si>
  <si>
    <t>Lime to Digestion 000</t>
  </si>
  <si>
    <t>Lime to Slaker 200</t>
  </si>
  <si>
    <t>Liquor to Slaker 200</t>
  </si>
  <si>
    <t>Slaker Temp 200</t>
  </si>
  <si>
    <t>Lime to Digestion 200</t>
  </si>
  <si>
    <t>Lime to Slaker 400</t>
  </si>
  <si>
    <t>Liquor to Slaker 400</t>
  </si>
  <si>
    <t>Slaker Temp 400</t>
  </si>
  <si>
    <t>Lime to Digestion 400</t>
  </si>
  <si>
    <t>Filter Aid Flow to Press 0600</t>
  </si>
  <si>
    <t>Filter Aid Flow to Press 0800</t>
  </si>
  <si>
    <t>Filter Aid Flow to Press 1000</t>
  </si>
  <si>
    <t>Filter Aid Flow to Press 1200</t>
  </si>
  <si>
    <t>Filter Aid Flow to Press 1400</t>
  </si>
  <si>
    <t>Filter Aid Flow to Press 1600</t>
  </si>
  <si>
    <t>Sodium Sulfide Flow 0600</t>
  </si>
  <si>
    <t>Sodium Sulfide Flow 0800</t>
  </si>
  <si>
    <t>Sodium Sulfide Flow 1000</t>
  </si>
  <si>
    <t>Sodium Sulfide Flow 1200</t>
  </si>
  <si>
    <t>Sodium Sulfide Flow 1400</t>
  </si>
  <si>
    <t>Sodium Sulfide Flow 1600</t>
  </si>
  <si>
    <t>Settler Flow Flow 0600</t>
  </si>
  <si>
    <t>Settler Flow Flow 0800</t>
  </si>
  <si>
    <t>Settler Flow Flow 1000</t>
  </si>
  <si>
    <t>Settler Flow Flow 1200</t>
  </si>
  <si>
    <t>Settler Flow Flow 1400</t>
  </si>
  <si>
    <t>Settler Flow Flow 1600</t>
  </si>
  <si>
    <t>s45</t>
  </si>
  <si>
    <t>s46</t>
  </si>
  <si>
    <t>s47</t>
  </si>
  <si>
    <t>s48</t>
  </si>
  <si>
    <t>s49</t>
  </si>
  <si>
    <t>s50</t>
  </si>
  <si>
    <t>b53</t>
  </si>
  <si>
    <t>b54</t>
  </si>
  <si>
    <t>b55</t>
  </si>
  <si>
    <t>b56</t>
  </si>
  <si>
    <t>b57</t>
  </si>
  <si>
    <t>b58</t>
  </si>
  <si>
    <t>Sodium Sulfide Flow 1800</t>
  </si>
  <si>
    <t>Settler Flow Flow 1800</t>
  </si>
  <si>
    <t>Filter Aid Flow to Press 1800</t>
  </si>
  <si>
    <t>Filter Aid Flow to Press 2000</t>
  </si>
  <si>
    <t>Sodium Sulfide Flow 2000</t>
  </si>
  <si>
    <t>Settler Flow Flow 2000</t>
  </si>
  <si>
    <t>Filter Aid Flow to Press 2200</t>
  </si>
  <si>
    <t>Sodium Sulfide Flow 2200</t>
  </si>
  <si>
    <t>Settler Flow Flow 2200</t>
  </si>
  <si>
    <t>Filter Aid Flow to Press 000</t>
  </si>
  <si>
    <t>Sodium Sulfide Flow 000</t>
  </si>
  <si>
    <t>Settler Flow Flow 000</t>
  </si>
  <si>
    <t>Filter Aid Flow to Press 200</t>
  </si>
  <si>
    <t>Sodium Sulfide Flow 200</t>
  </si>
  <si>
    <t>Settler Flow Flow 200</t>
  </si>
  <si>
    <t>Filter Aid Flow to Press 400</t>
  </si>
  <si>
    <t>Sodium Sulfide Flow 400</t>
  </si>
  <si>
    <t>Settler Flow Flow 400</t>
  </si>
  <si>
    <t>c58</t>
  </si>
  <si>
    <t>Last Sodium Sulfide Tank Level</t>
  </si>
  <si>
    <t>f53</t>
  </si>
  <si>
    <t>f54</t>
  </si>
  <si>
    <t>f55</t>
  </si>
  <si>
    <t>f56</t>
  </si>
  <si>
    <t>f57</t>
  </si>
  <si>
    <t>f58</t>
  </si>
  <si>
    <t>h53</t>
  </si>
  <si>
    <t>h54</t>
  </si>
  <si>
    <t>h55</t>
  </si>
  <si>
    <t>h56</t>
  </si>
  <si>
    <t>h57</t>
  </si>
  <si>
    <t>h58</t>
  </si>
  <si>
    <t>i53</t>
  </si>
  <si>
    <t>i54</t>
  </si>
  <si>
    <t>i55</t>
  </si>
  <si>
    <t>i56</t>
  </si>
  <si>
    <t>i57</t>
  </si>
  <si>
    <t>i58</t>
  </si>
  <si>
    <t>k53</t>
  </si>
  <si>
    <t>k54</t>
  </si>
  <si>
    <t>k55</t>
  </si>
  <si>
    <t>k56</t>
  </si>
  <si>
    <t>k57</t>
  </si>
  <si>
    <t>k58</t>
  </si>
  <si>
    <t>l53</t>
  </si>
  <si>
    <t>l54</t>
  </si>
  <si>
    <t>l55</t>
  </si>
  <si>
    <t>l56</t>
  </si>
  <si>
    <t>l57</t>
  </si>
  <si>
    <t>l58</t>
  </si>
  <si>
    <t>Filter Aid Dilution 0600</t>
  </si>
  <si>
    <t>Filter Aid Dilution 0800</t>
  </si>
  <si>
    <t>Filter Aid Dilution 1000</t>
  </si>
  <si>
    <t>Filter Aid Dilution 1200</t>
  </si>
  <si>
    <t>Filter Aid Dilution 1400</t>
  </si>
  <si>
    <t>Filter Aid Dilution 1600</t>
  </si>
  <si>
    <t>Filter Aid #8 WOF HW 0600</t>
  </si>
  <si>
    <t>Filter Aid #8 WOF HW 0800</t>
  </si>
  <si>
    <t>Filter Aid #8 WOF HW 1000</t>
  </si>
  <si>
    <t>Filter Aid #8 WOF HW 1200</t>
  </si>
  <si>
    <t>Filter Aid #8 WOF HW 1400</t>
  </si>
  <si>
    <t>Filter Aid #8 WOF HW 1600</t>
  </si>
  <si>
    <t>Filter Aid #8 WOF ML 0600</t>
  </si>
  <si>
    <t>Filter Aid #8 WOF ML 0800</t>
  </si>
  <si>
    <t>Filter Aid #8 WOF ML 1000</t>
  </si>
  <si>
    <t>Filter Aid #8 WOF ML 1200</t>
  </si>
  <si>
    <t>Filter Aid #8 WOF ML 1400</t>
  </si>
  <si>
    <t>Filter Aid #8 WOF ML 1600</t>
  </si>
  <si>
    <t>Filter Aid Wash Water Flow 0600</t>
  </si>
  <si>
    <t>Filter Aid Wash Water Flow 0800</t>
  </si>
  <si>
    <t>Filter Aid Wash Water Flow 1000</t>
  </si>
  <si>
    <t>Filter Aid Wash Water Flow 1200</t>
  </si>
  <si>
    <t>Filter Aid Wash Water Flow 1400</t>
  </si>
  <si>
    <t>Filter Aid Wash Water Flow 1600</t>
  </si>
  <si>
    <t>Filter Aid Wash Water Temp 0600</t>
  </si>
  <si>
    <t>Filter Aid Wash Water Temp 0800</t>
  </si>
  <si>
    <t>Filter Aid Wash Water Temp 1000</t>
  </si>
  <si>
    <t>Filter Aid Wash Water Temp 1200</t>
  </si>
  <si>
    <t>Filter Aid Wash Water Temp 1400</t>
  </si>
  <si>
    <t>Filter Aid Wash Water Temp 1600</t>
  </si>
  <si>
    <t>Filter Aid Dilution 1800</t>
  </si>
  <si>
    <t>Filter Aid #8 WOF HW 1800</t>
  </si>
  <si>
    <t>Filter Aid #8 WOF ML 1800</t>
  </si>
  <si>
    <t>Filter Aid Wash Water Flow 1800</t>
  </si>
  <si>
    <t>Filter Aid Wash Water Temp 1800</t>
  </si>
  <si>
    <t>Filter Aid Dilution 2000</t>
  </si>
  <si>
    <t>Filter Aid #8 WOF HW 2000</t>
  </si>
  <si>
    <t>Filter Aid #8 WOF ML 2000</t>
  </si>
  <si>
    <t>Filter Aid Wash Water Flow 2000</t>
  </si>
  <si>
    <t>Filter Aid Wash Water Temp 2000</t>
  </si>
  <si>
    <t>Filter Aid Dilution 2200</t>
  </si>
  <si>
    <t>Filter Aid #8 WOF HW 2200</t>
  </si>
  <si>
    <t>Filter Aid #8 WOF ML 2200</t>
  </si>
  <si>
    <t>Filter Aid Wash Water Flow 2200</t>
  </si>
  <si>
    <t>Filter Aid Wash Water Temp 2200</t>
  </si>
  <si>
    <t>Filter Aid Dilution 000</t>
  </si>
  <si>
    <t>Filter Aid #8 WOF HW 000</t>
  </si>
  <si>
    <t>Filter Aid #8 WOF ML 000</t>
  </si>
  <si>
    <t>Filter Aid Wash Water Flow 000</t>
  </si>
  <si>
    <t>Filter Aid Wash Water Temp 000</t>
  </si>
  <si>
    <t>Filter Aid Dilution 200</t>
  </si>
  <si>
    <t>Filter Aid #8 WOF HW 200</t>
  </si>
  <si>
    <t>Filter Aid #8 WOF ML 200</t>
  </si>
  <si>
    <t>Filter Aid Wash Water Flow 200</t>
  </si>
  <si>
    <t>Filter Aid Wash Water Temp 200</t>
  </si>
  <si>
    <t>Filter Aid Dilution 400</t>
  </si>
  <si>
    <t>Filter Aid #8 WOF HW 400</t>
  </si>
  <si>
    <t>Filter Aid #8 WOF ML 400</t>
  </si>
  <si>
    <t>Filter Aid Wash Water Flow 400</t>
  </si>
  <si>
    <t>Filter Aid Wash Water Temp 400</t>
  </si>
  <si>
    <t>Mud Lake Surge</t>
  </si>
  <si>
    <t>Mud Lake #2</t>
  </si>
  <si>
    <t>Mud Lake #4 to #8</t>
  </si>
  <si>
    <t>Caustic Totalizer</t>
  </si>
  <si>
    <t>"B" Filtration Totalizer</t>
  </si>
  <si>
    <t>r57</t>
  </si>
  <si>
    <t>s57</t>
  </si>
  <si>
    <t>v57</t>
  </si>
  <si>
    <t>r52</t>
  </si>
  <si>
    <t>r54</t>
  </si>
  <si>
    <t>Middle Floc Flow 0600</t>
  </si>
  <si>
    <t>Middle Floc Flow 0800</t>
  </si>
  <si>
    <t>Middle Floc Flow 1000</t>
  </si>
  <si>
    <t>Middle Floc Flow 1200</t>
  </si>
  <si>
    <t>Middle Floc Flow 1400</t>
  </si>
  <si>
    <t>Middle Floc Flow 1600</t>
  </si>
  <si>
    <t>Washer Flow Flow 0600</t>
  </si>
  <si>
    <t>Washer Flow Flow 0800</t>
  </si>
  <si>
    <t>Washer Flow Flow 1000</t>
  </si>
  <si>
    <t>Washer Flow Flow 1200</t>
  </si>
  <si>
    <t>Washer Flow Flow 1400</t>
  </si>
  <si>
    <t>Washer Flow Flow 1600</t>
  </si>
  <si>
    <t>i45</t>
  </si>
  <si>
    <t>i46</t>
  </si>
  <si>
    <t>i47</t>
  </si>
  <si>
    <t>i48</t>
  </si>
  <si>
    <t>i49</t>
  </si>
  <si>
    <t>i50</t>
  </si>
  <si>
    <t>l45</t>
  </si>
  <si>
    <t>l46</t>
  </si>
  <si>
    <t>l47</t>
  </si>
  <si>
    <t>l48</t>
  </si>
  <si>
    <t>l49</t>
  </si>
  <si>
    <t>l50</t>
  </si>
  <si>
    <t>Washer Flow Flow 1800</t>
  </si>
  <si>
    <t>Middle Floc Flow 1800</t>
  </si>
  <si>
    <t>Middle Floc Flow 2000</t>
  </si>
  <si>
    <t>Washer Flow Flow 2000</t>
  </si>
  <si>
    <t>Middle Floc Flow 2200</t>
  </si>
  <si>
    <t>Washer Flow Flow 2200</t>
  </si>
  <si>
    <t>Middle Floc Flow 000</t>
  </si>
  <si>
    <t>Washer Flow Flow 000</t>
  </si>
  <si>
    <t>Middle Floc Flow 200</t>
  </si>
  <si>
    <t>Washer Flow Flow 200</t>
  </si>
  <si>
    <t>Middle Floc Flow 400</t>
  </si>
  <si>
    <t>Washer Flow Flow 400</t>
  </si>
  <si>
    <t>Washer 0 Mud Level Manual 0600</t>
  </si>
  <si>
    <t>Washer 0 Mud Level Manual 0800</t>
  </si>
  <si>
    <t>Washer 0 Mud Level Manual 1000</t>
  </si>
  <si>
    <t>Washer 0 Mud Level Manual 1200</t>
  </si>
  <si>
    <t>Washer 0 Mud Level Manual 1400</t>
  </si>
  <si>
    <t>Washer 0 Mud Level Manual 1600</t>
  </si>
  <si>
    <t>Washer 0 Mud Level Mud Diver 0600</t>
  </si>
  <si>
    <t>Washer 0 Mud Level Mud Diver 0800</t>
  </si>
  <si>
    <t>Washer 0 Mud Level Mud Diver 1000</t>
  </si>
  <si>
    <t>Washer 0 Mud Level Mud Diver 1200</t>
  </si>
  <si>
    <t>Washer 0 Mud Level Mud Diver 1400</t>
  </si>
  <si>
    <t>Washer 0 Mud Level Mud Diver 1600</t>
  </si>
  <si>
    <t>Washer 0 %Solids 0600</t>
  </si>
  <si>
    <t>Washer 0 %Solids 0800</t>
  </si>
  <si>
    <t>Washer 0 %Solids 1000</t>
  </si>
  <si>
    <t>Washer 0 %Solids 1200</t>
  </si>
  <si>
    <t>Washer 0 %Solids 1400</t>
  </si>
  <si>
    <t>Washer 0 %Solids 1600</t>
  </si>
  <si>
    <t>Washer 0 Floc Flow 0600</t>
  </si>
  <si>
    <t>Washer 0 Floc Flow 0800</t>
  </si>
  <si>
    <t>Washer 0 Floc Flow 1000</t>
  </si>
  <si>
    <t>Washer 0 Floc Flow 1200</t>
  </si>
  <si>
    <t>Washer 0 Floc Flow 1400</t>
  </si>
  <si>
    <t>Washer 0 Floc Flow 1600</t>
  </si>
  <si>
    <t>HI-3 Filtrate
 Flow</t>
  </si>
  <si>
    <t>Washer 0 Starch Flow 0600</t>
  </si>
  <si>
    <t>Washer 0 Starch Flow 0800</t>
  </si>
  <si>
    <t>Washer 0 Starch Flow 1000</t>
  </si>
  <si>
    <t>Washer 0 Starch Flow 1200</t>
  </si>
  <si>
    <t>Washer 0 Starch Flow 1400</t>
  </si>
  <si>
    <t>Washer 0 Starch Flow 1600</t>
  </si>
  <si>
    <t>f5</t>
  </si>
  <si>
    <t>f6</t>
  </si>
  <si>
    <t>f7</t>
  </si>
  <si>
    <t>f8</t>
  </si>
  <si>
    <t>f9</t>
  </si>
  <si>
    <t>f10</t>
  </si>
  <si>
    <t>e5</t>
  </si>
  <si>
    <t>e6</t>
  </si>
  <si>
    <t>e7</t>
  </si>
  <si>
    <t>e8</t>
  </si>
  <si>
    <t>e9</t>
  </si>
  <si>
    <t>e10</t>
  </si>
  <si>
    <t>f18</t>
  </si>
  <si>
    <t>f19</t>
  </si>
  <si>
    <t>f20</t>
  </si>
  <si>
    <t>f21</t>
  </si>
  <si>
    <t>f22</t>
  </si>
  <si>
    <t>f23</t>
  </si>
  <si>
    <t>f30</t>
  </si>
  <si>
    <t>f31</t>
  </si>
  <si>
    <t>f32</t>
  </si>
  <si>
    <t>f33</t>
  </si>
  <si>
    <t>f34</t>
  </si>
  <si>
    <t>f35</t>
  </si>
  <si>
    <t>e36</t>
  </si>
  <si>
    <t>e37</t>
  </si>
  <si>
    <t>e38</t>
  </si>
  <si>
    <t>e39</t>
  </si>
  <si>
    <t>e40</t>
  </si>
  <si>
    <t>e41</t>
  </si>
  <si>
    <t>Washer 0 Mud Level Manual 1800</t>
  </si>
  <si>
    <t>Washer 0 Mud Level Mud Diver 1800</t>
  </si>
  <si>
    <t>Washer 0 %Solids 1800</t>
  </si>
  <si>
    <t>Washer 0 Floc Flow 1800</t>
  </si>
  <si>
    <t>Washer 0 Starch Flow 1800</t>
  </si>
  <si>
    <t>Washer 0 Mud Level Manual 2000</t>
  </si>
  <si>
    <t>Washer 0 Mud Level Mud Diver 2000</t>
  </si>
  <si>
    <t>Washer 0 %Solids 2000</t>
  </si>
  <si>
    <t>Washer 0 Floc Flow 2000</t>
  </si>
  <si>
    <t>Washer 0 Starch Flow 2000</t>
  </si>
  <si>
    <t>Washer 0 Mud Level Manual 2200</t>
  </si>
  <si>
    <t>Washer 0 Mud Level Mud Diver 2200</t>
  </si>
  <si>
    <t>Washer 0 %Solids 2200</t>
  </si>
  <si>
    <t>Washer 0 Floc Flow 2200</t>
  </si>
  <si>
    <t>Washer 0 Starch Flow 2200</t>
  </si>
  <si>
    <t>Washer 0 Mud Level Manual 000</t>
  </si>
  <si>
    <t>Washer 0 Mud Level Mud Diver 000</t>
  </si>
  <si>
    <t>Washer 0 %Solids 000</t>
  </si>
  <si>
    <t>Washer 0 Floc Flow 000</t>
  </si>
  <si>
    <t>Washer 0 Starch Flow 000</t>
  </si>
  <si>
    <t>Washer 0 Mud Level Manual 200</t>
  </si>
  <si>
    <t>Washer 0 Mud Level Mud Diver 200</t>
  </si>
  <si>
    <t>Washer 0 %Solids 200</t>
  </si>
  <si>
    <t>Washer 0 Floc Flow 200</t>
  </si>
  <si>
    <t>Washer 0 Starch Flow 200</t>
  </si>
  <si>
    <t>Washer 0 Mud Level Manual 400</t>
  </si>
  <si>
    <t>Washer 0 Mud Level Mud Diver 400</t>
  </si>
  <si>
    <t>Washer 0 %Solids 400</t>
  </si>
  <si>
    <t>Washer 0 Floc Flow 400</t>
  </si>
  <si>
    <t>Washer 0 Starch Flow 400</t>
  </si>
  <si>
    <t>Washer 1 Mud Level 0600</t>
  </si>
  <si>
    <t>Washer 1 Mud Level 1000</t>
  </si>
  <si>
    <t>Washer 1 Mud Level 1400</t>
  </si>
  <si>
    <t>Washer 1 %Solids 1000</t>
  </si>
  <si>
    <t>Washer 1 %Solids 1400</t>
  </si>
  <si>
    <t>Washer 1 %Solids 0600</t>
  </si>
  <si>
    <t>Washer 1 Floc Flow 0600</t>
  </si>
  <si>
    <t>Washer 1 Floc Flow 0800</t>
  </si>
  <si>
    <t>Washer 1 Floc Flow 1000</t>
  </si>
  <si>
    <t>Washer 1 Floc Flow 1200</t>
  </si>
  <si>
    <t>Washer 1 Floc Flow 1400</t>
  </si>
  <si>
    <t>Washer 1 Floc Flow 1600</t>
  </si>
  <si>
    <t>Washer 1 Starch Flow 0800</t>
  </si>
  <si>
    <t>Washer 1 Starch Flow 1000</t>
  </si>
  <si>
    <t>Washer 1 Starch Flow 1200</t>
  </si>
  <si>
    <t>Washer 1 Starch Flow 1400</t>
  </si>
  <si>
    <t>Washer 1 Starch Flow 1600</t>
  </si>
  <si>
    <t>Washer 1 Starch Flow 0600</t>
  </si>
  <si>
    <t>j5</t>
  </si>
  <si>
    <t>j7</t>
  </si>
  <si>
    <t>j9</t>
  </si>
  <si>
    <t>j18</t>
  </si>
  <si>
    <t>j20</t>
  </si>
  <si>
    <t>j22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</si>
  <si>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</si>
  <si>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</si>
  <si>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</si>
  <si>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</si>
  <si>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</si>
  <si>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</si>
  <si>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</si>
  <si>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</si>
  <si>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</si>
  <si>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</si>
  <si>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</si>
  <si>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</si>
  <si>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Washer 1 Mud Level 1800</t>
  </si>
  <si>
    <t>Washer 1 %Solids 1800</t>
  </si>
  <si>
    <t>Washer 1 Floc Flow 1800</t>
  </si>
  <si>
    <t>Washer 1 Starch Flow 1800</t>
  </si>
  <si>
    <t>Washer 1 Floc Flow 2000</t>
  </si>
  <si>
    <t>Washer 1 Starch Flow 2000</t>
  </si>
  <si>
    <t>Washer 1 Mud Level 2200</t>
  </si>
  <si>
    <t>Washer 1 %Solids 2200</t>
  </si>
  <si>
    <t>Washer 1 Floc Flow 2200</t>
  </si>
  <si>
    <t>Washer 1 Starch Flow 2200</t>
  </si>
  <si>
    <t>Washer 1 Floc Flow 000</t>
  </si>
  <si>
    <t>Washer 1 Starch Flow 000</t>
  </si>
  <si>
    <t>Washer 1 Mud Level 200</t>
  </si>
  <si>
    <t>Washer 1 %Solids 200</t>
  </si>
  <si>
    <t>Washer 1 Floc Flow 200</t>
  </si>
  <si>
    <t>Washer 1 Starch Flow 200</t>
  </si>
  <si>
    <t>Washer 1 Floc Flow 400</t>
  </si>
  <si>
    <t>Washer 1 Starch Flow 400</t>
  </si>
  <si>
    <t>Washer 2 Mud Level 0600</t>
  </si>
  <si>
    <t>Washer 2 Mud Level 1000</t>
  </si>
  <si>
    <t>Washer 2 Mud Level 1400</t>
  </si>
  <si>
    <t>Washer 2 %Solids 0600</t>
  </si>
  <si>
    <t>Washer 2 %Solids 1000</t>
  </si>
  <si>
    <t>Washer 2 %Solids 1400</t>
  </si>
  <si>
    <t>Washer 2 Floc Flow 0600</t>
  </si>
  <si>
    <t>Washer 2 Floc Flow 0800</t>
  </si>
  <si>
    <t>Washer 2 Floc Flow 1000</t>
  </si>
  <si>
    <t>Washer 2 Floc Flow 1200</t>
  </si>
  <si>
    <t>Washer 2 Floc Flow 1400</t>
  </si>
  <si>
    <t>Washer 2 Floc Flow 1600</t>
  </si>
  <si>
    <t>Washer 2 Starch Flow 0600</t>
  </si>
  <si>
    <t>Washer 2 Starch Flow 0800</t>
  </si>
  <si>
    <t>Washer 2 Starch Flow 1000</t>
  </si>
  <si>
    <t>Washer 2 Starch Flow 1200</t>
  </si>
  <si>
    <t>Washer 2 Starch Flow 1400</t>
  </si>
  <si>
    <t>Washer 2 Starch Flow 1600</t>
  </si>
  <si>
    <t>Washer 2 Mud Level 1800</t>
  </si>
  <si>
    <t>Washer 2 Mud Level 2200</t>
  </si>
  <si>
    <t>Washer 2 Mud Level 200</t>
  </si>
  <si>
    <t>Washer 2 %Solids 1800</t>
  </si>
  <si>
    <t>Washer 2 %Solids 2200</t>
  </si>
  <si>
    <t>Washer 2 %Solids 200</t>
  </si>
  <si>
    <t>Washer 2 Floc Flow 1800</t>
  </si>
  <si>
    <t>Washer 2 Floc Flow 2000</t>
  </si>
  <si>
    <t>Washer 2 Floc Flow 2200</t>
  </si>
  <si>
    <t>Washer 2 Floc Flow 000</t>
  </si>
  <si>
    <t>Washer 2 Floc Flow 200</t>
  </si>
  <si>
    <t>Washer 2 Floc Flow 400</t>
  </si>
  <si>
    <t>Washer 2 Starch Flow 1800</t>
  </si>
  <si>
    <t>Washer 2 Starch Flow 2000</t>
  </si>
  <si>
    <t>Washer 2 Starch Flow 2200</t>
  </si>
  <si>
    <t>Washer 2 Starch Flow 000</t>
  </si>
  <si>
    <t>Washer 2 Starch Flow 200</t>
  </si>
  <si>
    <t>Washer 2 Starch Flow 400</t>
  </si>
  <si>
    <t>Washer 3 Mud Level 0600</t>
  </si>
  <si>
    <t>Washer 3 Mud Level 1000</t>
  </si>
  <si>
    <t>Washer 3 Mud Level 1400</t>
  </si>
  <si>
    <t>Washer 3 %Solids 0600</t>
  </si>
  <si>
    <t>Washer 3 %Solids 1000</t>
  </si>
  <si>
    <t>Washer 3 %Solids 1400</t>
  </si>
  <si>
    <t>Washer 3 Floc Flow 0600</t>
  </si>
  <si>
    <t>Washer 3 Floc Flow 0800</t>
  </si>
  <si>
    <t>Washer 3 Floc Flow 1000</t>
  </si>
  <si>
    <t>Washer 3 Floc Flow 1200</t>
  </si>
  <si>
    <t>Washer 3 Floc Flow 1400</t>
  </si>
  <si>
    <t>Washer 3 Floc Flow 1600</t>
  </si>
  <si>
    <t>Washer 3 Starch Flow 0600</t>
  </si>
  <si>
    <t>Washer 3 Starch Flow 0800</t>
  </si>
  <si>
    <t>Washer 3 Starch Flow 1000</t>
  </si>
  <si>
    <t>Washer 3 Starch Flow 1200</t>
  </si>
  <si>
    <t>Washer 3 Starch Flow 1400</t>
  </si>
  <si>
    <t>Washer 3 Starch Flow 1600</t>
  </si>
  <si>
    <t>Washer 3 Mud Level 1800</t>
  </si>
  <si>
    <t>Washer 3 Mud Level 2200</t>
  </si>
  <si>
    <t>Washer 3 Mud Level 200</t>
  </si>
  <si>
    <t>Washer 3 %Solids 1800</t>
  </si>
  <si>
    <t>Washer 3 %Solids 2200</t>
  </si>
  <si>
    <t>Washer 3 %Solids 200</t>
  </si>
  <si>
    <t>Washer 3 Floc Flow 1800</t>
  </si>
  <si>
    <t>Washer 3 Floc Flow 2000</t>
  </si>
  <si>
    <t>Washer 3 Floc Flow 2200</t>
  </si>
  <si>
    <t>Washer 3 Floc Flow 000</t>
  </si>
  <si>
    <t>Washer 3 Floc Flow 200</t>
  </si>
  <si>
    <t>Washer 3 Floc Flow 400</t>
  </si>
  <si>
    <t>Washer 3 Starch Flow 1800</t>
  </si>
  <si>
    <t>Washer 3 Starch Flow 2000</t>
  </si>
  <si>
    <t>Washer 3 Starch Flow 2200</t>
  </si>
  <si>
    <t>Washer 3 Starch Flow 000</t>
  </si>
  <si>
    <t>Washer 3 Starch Flow 200</t>
  </si>
  <si>
    <t>Washer 3 Starch Flow 400</t>
  </si>
  <si>
    <t>Washer 4 Mud Level 0600</t>
  </si>
  <si>
    <t>Washer 4 Mud Level 1000</t>
  </si>
  <si>
    <t>Washer 4 Mud Level 1400</t>
  </si>
  <si>
    <t>Washer 4 %Solids 0600</t>
  </si>
  <si>
    <t>Washer 4 %Solids 1000</t>
  </si>
  <si>
    <t>Washer 4 %Solids 1400</t>
  </si>
  <si>
    <t>Next Production Day</t>
  </si>
  <si>
    <t>Current Production Day</t>
  </si>
  <si>
    <t>Previous Production Day</t>
  </si>
  <si>
    <t>ChargeControl Table</t>
  </si>
  <si>
    <t>LTPAC</t>
  </si>
  <si>
    <t>T1AC</t>
  </si>
  <si>
    <t>T7AC</t>
  </si>
  <si>
    <t>WOFAC</t>
  </si>
  <si>
    <t>SUFAC</t>
  </si>
  <si>
    <t>SECDATE</t>
  </si>
  <si>
    <t>SECRECORD</t>
  </si>
  <si>
    <t>SECID</t>
  </si>
  <si>
    <t>CAG1</t>
  </si>
  <si>
    <t>CAG7</t>
  </si>
  <si>
    <t>ACAG1</t>
  </si>
  <si>
    <t>ACAG7</t>
  </si>
  <si>
    <t>0600</t>
  </si>
  <si>
    <t>DailyAnalysis Table - ALUMINA</t>
  </si>
  <si>
    <t>PRODUCT</t>
  </si>
  <si>
    <t>LOI</t>
  </si>
  <si>
    <t>P100</t>
  </si>
  <si>
    <t>P200</t>
  </si>
  <si>
    <t>P325</t>
  </si>
  <si>
    <t>BULKDENS</t>
  </si>
  <si>
    <t>SI</t>
  </si>
  <si>
    <t>FE</t>
  </si>
  <si>
    <t>NA</t>
  </si>
  <si>
    <t>ZN</t>
  </si>
  <si>
    <t>MN</t>
  </si>
  <si>
    <t>CA</t>
  </si>
  <si>
    <t>DailyAnalysis Table - HYDRATE</t>
  </si>
  <si>
    <t>CSEDS</t>
  </si>
  <si>
    <t>Environmental Table</t>
  </si>
  <si>
    <t>SCALTP</t>
  </si>
  <si>
    <t>Average</t>
  </si>
  <si>
    <t>HydrateAnalysis Table</t>
  </si>
  <si>
    <t>KilnDryer Table</t>
  </si>
  <si>
    <t>KFLS0600_1</t>
  </si>
  <si>
    <t>KFLS0600_2</t>
  </si>
  <si>
    <t>KFLS0600_3</t>
  </si>
  <si>
    <t>KFLS1800_1</t>
  </si>
  <si>
    <t>KFLS1800_2</t>
  </si>
  <si>
    <t>KFLS1800_3</t>
  </si>
  <si>
    <t>KDLOI2200_1</t>
  </si>
  <si>
    <t>KDLOI2200_2</t>
  </si>
  <si>
    <t>KDLOI2200_3</t>
  </si>
  <si>
    <t>KDLOI1000_1</t>
  </si>
  <si>
    <t>KDLOI1000_2</t>
  </si>
  <si>
    <t>KDLOI1000_3</t>
  </si>
  <si>
    <t>Sec1Data Table</t>
  </si>
  <si>
    <t>SASUF</t>
  </si>
  <si>
    <t>SAWUF</t>
  </si>
  <si>
    <t>SAMTL</t>
  </si>
  <si>
    <t>SAFA</t>
  </si>
  <si>
    <t>SABF</t>
  </si>
  <si>
    <t>SALP</t>
  </si>
  <si>
    <t>OABF</t>
  </si>
  <si>
    <t>OA1CAKE</t>
  </si>
  <si>
    <t>OA2CAKE</t>
  </si>
  <si>
    <t>SRPF</t>
  </si>
  <si>
    <t>SRS</t>
  </si>
  <si>
    <t>TAAA4FT</t>
  </si>
  <si>
    <t>TAAAMTL</t>
  </si>
  <si>
    <t>TAAASF</t>
  </si>
  <si>
    <t>TAAASUF</t>
  </si>
  <si>
    <t>TAAAWUF</t>
  </si>
  <si>
    <t>GPLS1</t>
  </si>
  <si>
    <t>GPLS2</t>
  </si>
  <si>
    <t>GPLS3</t>
  </si>
  <si>
    <t>GPLS4</t>
  </si>
  <si>
    <t>SecIIIData - FST ST 38</t>
  </si>
  <si>
    <t>AC</t>
  </si>
  <si>
    <t>20uM</t>
  </si>
  <si>
    <t>CAUS</t>
  </si>
  <si>
    <t>GPLSOL</t>
  </si>
  <si>
    <t>SA</t>
  </si>
  <si>
    <t>ST 38</t>
  </si>
  <si>
    <t>SecIIIData - FST TT 52</t>
  </si>
  <si>
    <t>TT 52</t>
  </si>
  <si>
    <t>SecIIIData - NORTHD T1</t>
  </si>
  <si>
    <t>T1</t>
  </si>
  <si>
    <t>SecIIIData - SCCP AG1</t>
  </si>
  <si>
    <t>AG1</t>
  </si>
  <si>
    <t>Avg T1 and AG1</t>
  </si>
  <si>
    <t>SecIIIData - NORTHD T3</t>
  </si>
  <si>
    <t>SecIIIData - SCCP AG3</t>
  </si>
  <si>
    <t>Avg T3 and AG5</t>
  </si>
  <si>
    <t>SecIIIData - NORTHD T7</t>
  </si>
  <si>
    <t>SecIIIData - SCCP AG7</t>
  </si>
  <si>
    <t>AG7</t>
  </si>
  <si>
    <t>Avg T7 and AG7</t>
  </si>
  <si>
    <t>SecIIIData - NORTHD A7 OF</t>
  </si>
  <si>
    <t>SecIIIData - SCCP Y15 OF</t>
  </si>
  <si>
    <t>Avg A7 and Y15 OF</t>
  </si>
  <si>
    <t>SecIIIData - NORTHD B7 OF</t>
  </si>
  <si>
    <t>SecIIIData - SCCP Y16 OF</t>
  </si>
  <si>
    <t>Avg B7 and Y16 OF</t>
  </si>
  <si>
    <t>SecIIIData - NORTHD A7 UF</t>
  </si>
  <si>
    <t>SecIIIData - SCCP Y15 UF</t>
  </si>
  <si>
    <t>Avg A7 and Y15 UF</t>
  </si>
  <si>
    <t>SecIIIData - NORTHD B7 UF</t>
  </si>
  <si>
    <t>SecIIIData - SCCP Y16 UF</t>
  </si>
  <si>
    <t>Avg B7 and Y16 UF</t>
  </si>
  <si>
    <t>#8 WUF Density</t>
  </si>
  <si>
    <t>14DI_420</t>
  </si>
  <si>
    <t>Production Day</t>
  </si>
  <si>
    <t>1. Laboratory Daily Reports - Metals - 1</t>
  </si>
  <si>
    <t>Plant C/S</t>
  </si>
  <si>
    <t>Test Tank Caustic</t>
  </si>
  <si>
    <t>Test Tank A/C</t>
  </si>
  <si>
    <t>Digestion Discharge Caustic</t>
  </si>
  <si>
    <t>Digestion Discharge A/C</t>
  </si>
  <si>
    <t>Settler Feed Caustic</t>
  </si>
  <si>
    <t>Settler Feed A/C</t>
  </si>
  <si>
    <t>Press Feed Caustic</t>
  </si>
  <si>
    <t>Press Feed A/C</t>
  </si>
  <si>
    <t>L-P Caustic</t>
  </si>
  <si>
    <t>L-P Caustic AIM</t>
  </si>
  <si>
    <t>L-P A/C</t>
  </si>
  <si>
    <t>#5 Flash Tank TAA</t>
  </si>
  <si>
    <t>Settler Feed TAA</t>
  </si>
  <si>
    <t>2. Miscellaneous 1</t>
  </si>
  <si>
    <t>SUF (Boot/Cone)</t>
  </si>
  <si>
    <t>GPL Soda</t>
  </si>
  <si>
    <t>Tray O'Flow Solids (GPL)</t>
  </si>
  <si>
    <t>A/C</t>
  </si>
  <si>
    <t>WUF</t>
  </si>
  <si>
    <t>MTL</t>
  </si>
  <si>
    <t>SRT</t>
  </si>
  <si>
    <t>LkDecant</t>
  </si>
  <si>
    <t>#1</t>
  </si>
  <si>
    <t>#3</t>
  </si>
  <si>
    <t>#4</t>
  </si>
  <si>
    <t>Press Filtration</t>
  </si>
  <si>
    <t>Mud TAA Analysis</t>
  </si>
  <si>
    <t>Hot Well Ditches</t>
  </si>
  <si>
    <t>Time</t>
  </si>
  <si>
    <t>mg/l Solids</t>
  </si>
  <si>
    <t>SUF</t>
  </si>
  <si>
    <t>Soda Analysis</t>
  </si>
  <si>
    <t>%TAA</t>
  </si>
  <si>
    <t>Hot Well Ditch</t>
  </si>
  <si>
    <t>Plant Drain Ditch</t>
  </si>
  <si>
    <t>%Solids</t>
  </si>
  <si>
    <t>#8 WUF</t>
  </si>
  <si>
    <t>Density</t>
  </si>
  <si>
    <t>Silica/Caustic</t>
  </si>
  <si>
    <t>Test Tank</t>
  </si>
  <si>
    <t>L-P</t>
  </si>
  <si>
    <t>L_P</t>
  </si>
  <si>
    <t>CPN_CPS</t>
  </si>
  <si>
    <t>Na2S</t>
  </si>
  <si>
    <t>Zn</t>
  </si>
  <si>
    <t>3. Miscellaneous 2</t>
  </si>
  <si>
    <t>Evap Feed</t>
  </si>
  <si>
    <t>Evap Discharge</t>
  </si>
  <si>
    <t>Washer Overflow</t>
  </si>
  <si>
    <t>Soda</t>
  </si>
  <si>
    <t>Oxalate</t>
  </si>
  <si>
    <t>%Oxalate</t>
  </si>
  <si>
    <t>B. Filtrate</t>
  </si>
  <si>
    <t>1B + 2B Cake</t>
  </si>
  <si>
    <t>Oxalate SOF</t>
  </si>
  <si>
    <t>ST Seed</t>
  </si>
  <si>
    <t>Filter Aid</t>
  </si>
  <si>
    <t>Settling Rates</t>
  </si>
  <si>
    <t>Plant Floc</t>
  </si>
  <si>
    <t>Solids, gpl</t>
  </si>
  <si>
    <t>Washer % Floc</t>
  </si>
  <si>
    <t>Settler % Floc</t>
  </si>
  <si>
    <t>Settler</t>
  </si>
  <si>
    <t>#5 Flash</t>
  </si>
  <si>
    <t>4. Laboratory Daily Reports - Metals - 3</t>
  </si>
  <si>
    <t>Primary Feed/Seed Tanks</t>
  </si>
  <si>
    <t>+100</t>
  </si>
  <si>
    <t>+200</t>
  </si>
  <si>
    <t>+325</t>
  </si>
  <si>
    <t>Microns</t>
  </si>
  <si>
    <t>Caus</t>
  </si>
  <si>
    <t>S/A</t>
  </si>
  <si>
    <t>5. Kiln Data</t>
  </si>
  <si>
    <t>Kiln Feed Moisture</t>
  </si>
  <si>
    <t>#1 Kiln Feed</t>
  </si>
  <si>
    <t>#2 Kiln Feed</t>
  </si>
  <si>
    <t>#3 Kiln Feed</t>
  </si>
  <si>
    <t>Kiln Feed Leachable Soda</t>
  </si>
  <si>
    <t>Kiln Discharge LOI, %</t>
  </si>
  <si>
    <t>Kiln Discharge Analyses</t>
  </si>
  <si>
    <t>Na - Avg</t>
  </si>
  <si>
    <t>Ca - Avg</t>
  </si>
  <si>
    <t>Zn - Avg</t>
  </si>
  <si>
    <t>6. Alumina Shipments</t>
  </si>
  <si>
    <t>7. Hydrate Shipments</t>
  </si>
  <si>
    <t>Previous Day</t>
  </si>
  <si>
    <t>Current Day</t>
  </si>
  <si>
    <t>C-Seds</t>
  </si>
  <si>
    <t>Ref</t>
  </si>
  <si>
    <t>Leach</t>
  </si>
  <si>
    <t>BD</t>
  </si>
  <si>
    <t>Si</t>
  </si>
  <si>
    <t>Fe</t>
  </si>
  <si>
    <t>Na</t>
  </si>
  <si>
    <t>Mn</t>
  </si>
  <si>
    <t>Ca</t>
  </si>
  <si>
    <t>SiO2</t>
  </si>
  <si>
    <t>Fe2O3</t>
  </si>
  <si>
    <t>Na2O</t>
  </si>
  <si>
    <t>8. Hydrate Shipments</t>
  </si>
  <si>
    <t>Hydrate Car Number</t>
  </si>
  <si>
    <t>9. Continuous Precipitation Lab Data</t>
  </si>
  <si>
    <t>C</t>
  </si>
  <si>
    <t>T7</t>
  </si>
  <si>
    <t>A7 O'Flow</t>
  </si>
  <si>
    <t>Y15 O'Flow</t>
  </si>
  <si>
    <t>B7 O'Flow</t>
  </si>
  <si>
    <t>Y16 O'Flow</t>
  </si>
  <si>
    <t>%SOL</t>
  </si>
  <si>
    <t>GPL SOL</t>
  </si>
  <si>
    <t>TK 38</t>
  </si>
  <si>
    <t>TK 52</t>
  </si>
  <si>
    <t>Washer 4 Floc Flow 0600</t>
  </si>
  <si>
    <t>Washer 4 Floc Flow 0800</t>
  </si>
  <si>
    <t>Washer 4 Floc Flow 1000</t>
  </si>
  <si>
    <t>Washer 4 Floc Flow 1200</t>
  </si>
  <si>
    <t>Washer 4 Floc Flow 1400</t>
  </si>
  <si>
    <t>Washer 4 Floc Flow 1600</t>
  </si>
  <si>
    <t>Washer 4 Starch Flow 0600</t>
  </si>
  <si>
    <t>Washer 4 Starch Flow 0800</t>
  </si>
  <si>
    <t>Washer 4 Starch Flow 1000</t>
  </si>
  <si>
    <t>Washer 4 Starch Flow 1200</t>
  </si>
  <si>
    <t>Washer 4 Starch Flow 1400</t>
  </si>
  <si>
    <t>Washer 4 Starch Flow 1600</t>
  </si>
  <si>
    <t>Washer 4 Mud Level 1800</t>
  </si>
  <si>
    <t>Washer 4 Mud Level 2200</t>
  </si>
  <si>
    <t>Washer 4 Mud Level 200</t>
  </si>
  <si>
    <t>Washer 4 %Solids 1800</t>
  </si>
  <si>
    <t>Washer 4 %Solids 2200</t>
  </si>
  <si>
    <t>Washer 4 %Solids 200</t>
  </si>
  <si>
    <t>Washer 4 Floc Flow 1800</t>
  </si>
  <si>
    <t>Washer 4 Floc Flow 2000</t>
  </si>
  <si>
    <t>Washer 4 Floc Flow 2200</t>
  </si>
  <si>
    <t>Washer 4 Floc Flow 000</t>
  </si>
  <si>
    <t>Washer 4 Floc Flow 200</t>
  </si>
  <si>
    <t>Washer 4 Floc Flow 400</t>
  </si>
  <si>
    <t>Washer 4 Starch Flow 1800</t>
  </si>
  <si>
    <t>Washer 4 Starch Flow 2000</t>
  </si>
  <si>
    <t>Washer 4 Starch Flow 2200</t>
  </si>
  <si>
    <t>Washer 4 Starch Flow 000</t>
  </si>
  <si>
    <t>Washer 4 Starch Flow 200</t>
  </si>
  <si>
    <t>Washer 4 Starch Flow 400</t>
  </si>
  <si>
    <t>Washer 5 Mud Level 0600</t>
  </si>
  <si>
    <t>Washer 5 Mud Level 1000</t>
  </si>
  <si>
    <t>Washer 5 Mud Level 1400</t>
  </si>
  <si>
    <t>Washer 5 %Solids 0600</t>
  </si>
  <si>
    <t>Washer 5 %Solids 1000</t>
  </si>
  <si>
    <t>Washer 5 %Solids 1400</t>
  </si>
  <si>
    <t>Washer 5 Floc Flow 0600</t>
  </si>
  <si>
    <t>Washer 5 Floc Flow 0800</t>
  </si>
  <si>
    <t>Washer 5 Floc Flow 1000</t>
  </si>
  <si>
    <t>Washer 5 Floc Flow 1200</t>
  </si>
  <si>
    <t>Washer 5 Floc Flow 1400</t>
  </si>
  <si>
    <t>Washer 5 Floc Flow 1600</t>
  </si>
  <si>
    <t>Washer 5 Starch Flow 0600</t>
  </si>
  <si>
    <t>Washer 5 Starch Flow 0800</t>
  </si>
  <si>
    <t>Washer 5 Starch Flow 1000</t>
  </si>
  <si>
    <t>Washer 5 Starch Flow 1200</t>
  </si>
  <si>
    <t>Washer 5 Starch Flow 1400</t>
  </si>
  <si>
    <t>Washer 5 Starch Flow 1600</t>
  </si>
  <si>
    <t>Washer 5 Mud Level 1800</t>
  </si>
  <si>
    <t>Washer 5 Mud Level 2200</t>
  </si>
  <si>
    <t>Washer 5 Mud Level 200</t>
  </si>
  <si>
    <t>Washer 5 %Solids 1800</t>
  </si>
  <si>
    <t>Washer 5 %Solids 2200</t>
  </si>
  <si>
    <t>Washer 5 %Solids 200</t>
  </si>
  <si>
    <t>Washer 5 Floc Flow 1800</t>
  </si>
  <si>
    <t>Washer 5 Floc Flow 2000</t>
  </si>
  <si>
    <t>Washer 5 Floc Flow 2200</t>
  </si>
  <si>
    <t>Washer 5 Floc Flow 000</t>
  </si>
  <si>
    <t>Washer 5 Floc Flow 200</t>
  </si>
  <si>
    <t>Washer 5 Floc Flow 400</t>
  </si>
  <si>
    <t>Washer 5 Starch Flow 1800</t>
  </si>
  <si>
    <t>Washer 5 Starch Flow 2000</t>
  </si>
  <si>
    <t>Washer 5 Starch Flow 2200</t>
  </si>
  <si>
    <t>Washer 5 Starch Flow 000</t>
  </si>
  <si>
    <t>Washer 5 Starch Flow 200</t>
  </si>
  <si>
    <t>Washer 5 Starch Flow 400</t>
  </si>
  <si>
    <t>Washer 6 Mud Level 0600</t>
  </si>
  <si>
    <t>Washer 6 Mud Level 1000</t>
  </si>
  <si>
    <t>Washer 6 Mud Level 1400</t>
  </si>
  <si>
    <t>Washer 6 %Solids 0600</t>
  </si>
  <si>
    <t>Washer 6 %Solids 1000</t>
  </si>
  <si>
    <t>Washer 6 %Solids 1400</t>
  </si>
  <si>
    <t>Washer 6 Floc Flow 0600</t>
  </si>
  <si>
    <t>Washer 6 Floc Flow 0800</t>
  </si>
  <si>
    <t>Washer 6 Floc Flow 1000</t>
  </si>
  <si>
    <t>Washer 6 Floc Flow 1200</t>
  </si>
  <si>
    <t>Washer 6 Floc Flow 1400</t>
  </si>
  <si>
    <t>Washer 6 Floc Flow 1600</t>
  </si>
  <si>
    <t>Washer 6 Starch Flow 0600</t>
  </si>
  <si>
    <t>KFM</t>
  </si>
  <si>
    <t>KFM2</t>
  </si>
  <si>
    <t>KFM3</t>
  </si>
  <si>
    <t>SAOXSET</t>
  </si>
  <si>
    <t>Washer 6 Starch Flow 0800</t>
  </si>
  <si>
    <t>Washer 6 Starch Flow 1000</t>
  </si>
  <si>
    <t>Washer 6 Starch Flow 1200</t>
  </si>
  <si>
    <t>Washer 6 Starch Flow 1400</t>
  </si>
  <si>
    <t>Washer 6 Starch Flow 1600</t>
  </si>
  <si>
    <t>Washer 6 Mud Level 1800</t>
  </si>
  <si>
    <t>Washer 6 Mud Level 2200</t>
  </si>
  <si>
    <t>Washer 6 Mud Level 200</t>
  </si>
  <si>
    <t>Washer 6 %Solids 1800</t>
  </si>
  <si>
    <t>Washer 6 %Solids 2200</t>
  </si>
  <si>
    <t>Washer 6 %Solids 200</t>
  </si>
  <si>
    <t>Washer 6 Floc Flow 1800</t>
  </si>
  <si>
    <t>Washer 6 Floc Flow 2000</t>
  </si>
  <si>
    <t>Washer 6 Floc Flow 2200</t>
  </si>
  <si>
    <t>Washer 6 Floc Flow 000</t>
  </si>
  <si>
    <t>Washer 6 Floc Flow 200</t>
  </si>
  <si>
    <t>Washer 6 Floc Flow 400</t>
  </si>
  <si>
    <t>Washer 6 Starch Flow 1800</t>
  </si>
  <si>
    <t>Washer 6 Starch Flow 2000</t>
  </si>
  <si>
    <t>Washer 6 Starch Flow 2200</t>
  </si>
  <si>
    <t>Washer 6 Starch Flow 000</t>
  </si>
  <si>
    <t>Washer 6 Starch Flow 200</t>
  </si>
  <si>
    <t>Washer 6 Starch Flow 400</t>
  </si>
  <si>
    <t>Washer 7 Mud Level 0600</t>
  </si>
  <si>
    <t>Washer 7 Mud Level 1000</t>
  </si>
  <si>
    <t>Washer 7 Mud Level 1400</t>
  </si>
  <si>
    <t>Washer 7 %Solids 0600</t>
  </si>
  <si>
    <t>Washer 7 %Solids 1000</t>
  </si>
  <si>
    <t>Washer 7 %Solids 1400</t>
  </si>
  <si>
    <t>Washer 7 Floc Flow 0600</t>
  </si>
  <si>
    <t>Washer 7 Floc Flow 0800</t>
  </si>
  <si>
    <t>Washer 7 Floc Flow 1000</t>
  </si>
  <si>
    <t>Washer 7 Floc Flow 1200</t>
  </si>
  <si>
    <t>Washer 7 Floc Flow 1400</t>
  </si>
  <si>
    <t>Washer 7 Floc Flow 1600</t>
  </si>
  <si>
    <t>Washer 7 Starch Flow 0600</t>
  </si>
  <si>
    <t>Washer 7 Starch Flow 0800</t>
  </si>
  <si>
    <t>Page 1</t>
  </si>
  <si>
    <t>I35</t>
  </si>
  <si>
    <t>O35</t>
  </si>
  <si>
    <t>K35</t>
  </si>
  <si>
    <t>M35</t>
  </si>
  <si>
    <t>I38</t>
  </si>
  <si>
    <t>K38</t>
  </si>
  <si>
    <t>M38</t>
  </si>
  <si>
    <t>O38</t>
  </si>
  <si>
    <t>O48</t>
  </si>
  <si>
    <t>Washer 7 Starch Flow 1000</t>
  </si>
  <si>
    <t>Washer 7 Starch Flow 1200</t>
  </si>
  <si>
    <t>Washer 7 Starch Flow 1400</t>
  </si>
  <si>
    <t>Washer 7 Starch Flow 1600</t>
  </si>
  <si>
    <t>Washer 7 Mud Level 1800</t>
  </si>
  <si>
    <t>Washer 7 Mud Level 2200</t>
  </si>
  <si>
    <t>Washer 7 Mud Level 200</t>
  </si>
  <si>
    <t>Washer 7 %Solids 1800</t>
  </si>
  <si>
    <t>Washer 7 %Solids 2200</t>
  </si>
  <si>
    <t>Washer 7 %Solids 200</t>
  </si>
  <si>
    <t>Washer 7 Floc Flow 1800</t>
  </si>
  <si>
    <t>Washer 7 Floc Flow 2000</t>
  </si>
  <si>
    <t>Washer 7 Floc Flow 2200</t>
  </si>
  <si>
    <t>Washer 7 Floc Flow 000</t>
  </si>
  <si>
    <t>Washer 7 Floc Flow 200</t>
  </si>
  <si>
    <t>Washer 7 Floc Flow 400</t>
  </si>
  <si>
    <t>Washer 7 Starch Flow 1800</t>
  </si>
  <si>
    <t>Washer 7 Starch Flow 2000</t>
  </si>
  <si>
    <t>Washer 7 Starch Flow 2200</t>
  </si>
  <si>
    <t>Washer 7 Starch Flow 000</t>
  </si>
  <si>
    <t>Washer 7 Starch Flow 200</t>
  </si>
  <si>
    <t>Washer 7 Starch Flow 400</t>
  </si>
  <si>
    <t>Washer 8 Mud Level 0600</t>
  </si>
  <si>
    <t>Washer 8 Mud Level 1000</t>
  </si>
  <si>
    <t>Washer 8 Mud Level 1400</t>
  </si>
  <si>
    <t>Washer 8 %Solids 0600</t>
  </si>
  <si>
    <t>Washer 8 %Solids 1000</t>
  </si>
  <si>
    <t>Washer 8 %Solids 1400</t>
  </si>
  <si>
    <t>Washer 8 Floc Flow 0600</t>
  </si>
  <si>
    <t>Washer 8 Floc Flow 0800</t>
  </si>
  <si>
    <t>Washer 8 Floc Flow 1000</t>
  </si>
  <si>
    <t>Washer 8 Floc Flow 1200</t>
  </si>
  <si>
    <t>Washer 8 Floc Flow 1400</t>
  </si>
  <si>
    <t>Washer 8 Floc Flow 1600</t>
  </si>
  <si>
    <t>Washer 8 Starch Flow 0600</t>
  </si>
  <si>
    <t>Washer 8 Starch Flow 0800</t>
  </si>
  <si>
    <t>Washer 8 Starch Flow 1000</t>
  </si>
  <si>
    <t>Washer 8 Starch Flow 1200</t>
  </si>
  <si>
    <t>Washer 8 Starch Flow 1400</t>
  </si>
  <si>
    <t>Washer 8 Starch Flow 1600</t>
  </si>
  <si>
    <t>Washer 8 Mud Level 1800</t>
  </si>
  <si>
    <t>Washer 8 Mud Level 2200</t>
  </si>
  <si>
    <t>Washer 8 Mud Level 200</t>
  </si>
  <si>
    <t>Washer 8 %Solids 1800</t>
  </si>
  <si>
    <t>Washer 8 %Solids 2200</t>
  </si>
  <si>
    <t>Washer 8 %Solids 200</t>
  </si>
  <si>
    <t>Washer 8 Floc Flow 1800</t>
  </si>
  <si>
    <t>Washer 8 Floc Flow 2000</t>
  </si>
  <si>
    <t>Washer 8 Floc Flow 2200</t>
  </si>
  <si>
    <t>Washer 8 Floc Flow 000</t>
  </si>
  <si>
    <t>Washer 8 Floc Flow 200</t>
  </si>
  <si>
    <t>Washer 8 Floc Flow 400</t>
  </si>
  <si>
    <t>Washer 8 Starch Flow 1800</t>
  </si>
  <si>
    <t>Washer 8 Starch Flow 2000</t>
  </si>
  <si>
    <t>Washer 8 Starch Flow 2200</t>
  </si>
  <si>
    <t>Washer 8 Starch Flow 000</t>
  </si>
  <si>
    <t>Washer 8 Starch Flow 200</t>
  </si>
  <si>
    <t>Washer 8 Starch Flow 400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</si>
  <si>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</si>
  <si>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</si>
  <si>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</si>
  <si>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</si>
  <si>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</si>
  <si>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</si>
  <si>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</si>
  <si>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</si>
  <si>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</si>
  <si>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</si>
  <si>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</si>
  <si>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</si>
  <si>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l7</t>
  </si>
  <si>
    <t>l9</t>
  </si>
  <si>
    <t>l18</t>
  </si>
  <si>
    <t>l20</t>
  </si>
  <si>
    <t>l22</t>
  </si>
  <si>
    <t>l5</t>
  </si>
  <si>
    <t>n7</t>
  </si>
  <si>
    <t>n9</t>
  </si>
  <si>
    <t>n18</t>
  </si>
  <si>
    <t>n20</t>
  </si>
  <si>
    <t>n22</t>
  </si>
  <si>
    <t>n5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</si>
  <si>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</si>
  <si>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</si>
  <si>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</si>
  <si>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</si>
  <si>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</si>
  <si>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</si>
  <si>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</si>
  <si>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</si>
  <si>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</si>
  <si>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</si>
  <si>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</si>
  <si>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</si>
  <si>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p7</t>
  </si>
  <si>
    <t>p9</t>
  </si>
  <si>
    <t>p18</t>
  </si>
  <si>
    <t>p20</t>
  </si>
  <si>
    <t>p22</t>
  </si>
  <si>
    <t>p5</t>
  </si>
  <si>
    <t>o30</t>
  </si>
  <si>
    <t>29TI101</t>
  </si>
  <si>
    <t>29TI041</t>
  </si>
  <si>
    <t>Date</t>
  </si>
  <si>
    <t>HI-1 Feed 
Temp</t>
  </si>
  <si>
    <t>#1 FT Temp</t>
  </si>
  <si>
    <t>#2 FT Temp</t>
  </si>
  <si>
    <t>#3 FT Temp</t>
  </si>
  <si>
    <t>#4 FT Temp</t>
  </si>
  <si>
    <t>#4 Flash 
Vacuum 
(in. Hg)</t>
  </si>
  <si>
    <t>HI-3 to 
E-2 Flow</t>
  </si>
  <si>
    <t>HI-3 Total 
Spent 
Liq. Flow</t>
  </si>
  <si>
    <t>29TE119</t>
  </si>
  <si>
    <t>19TE120</t>
  </si>
  <si>
    <t>19TE121</t>
  </si>
  <si>
    <t>19TE122</t>
  </si>
  <si>
    <t>19TE123</t>
  </si>
  <si>
    <t>19TE146</t>
  </si>
  <si>
    <t>19TE147</t>
  </si>
  <si>
    <t>19TE148</t>
  </si>
  <si>
    <t>19TE117</t>
  </si>
  <si>
    <t>29PT114</t>
  </si>
  <si>
    <t>29FT204</t>
  </si>
  <si>
    <t>HI3 FEED</t>
  </si>
  <si>
    <t>29TE132</t>
  </si>
  <si>
    <t>29TE133</t>
  </si>
  <si>
    <t>29TE134</t>
  </si>
  <si>
    <t>29TE135</t>
  </si>
  <si>
    <t>Filtrate 
Temp to 
HI-1</t>
  </si>
  <si>
    <t>HI-1 Total 
Spent Liquor</t>
  </si>
  <si>
    <t>HI-1 Filtrate 
Flow</t>
  </si>
  <si>
    <t>HI1 FEED</t>
  </si>
  <si>
    <t>29FT039</t>
  </si>
  <si>
    <t>19TE093</t>
  </si>
  <si>
    <t>29TE127</t>
  </si>
  <si>
    <t>29TE128</t>
  </si>
  <si>
    <t>29TE129</t>
  </si>
  <si>
    <t>29TE125</t>
  </si>
  <si>
    <t>29TT124</t>
  </si>
  <si>
    <t>#3 Flash
Tank</t>
  </si>
  <si>
    <t>#4 Flash 
Tank Temp</t>
  </si>
  <si>
    <t>River 
Water 
Temp</t>
  </si>
  <si>
    <t>Spent Liquor 
Flow from 
Precip</t>
  </si>
  <si>
    <t>HI-2 to
E-2 Flow</t>
  </si>
  <si>
    <t>E-2 Inlet 
Temp</t>
  </si>
  <si>
    <t>#7 Heater Discharge 
Temp</t>
  </si>
  <si>
    <t>#8 Heater Discharge 
Temp</t>
  </si>
  <si>
    <t>#9 Heater Discharge 
Temp</t>
  </si>
  <si>
    <t>#10 Heater Discharge 
Temp</t>
  </si>
  <si>
    <t>#8A Liquor 
Exit Temp</t>
  </si>
  <si>
    <t>#8B Liquor 
Exit Temp</t>
  </si>
  <si>
    <t>29FT040</t>
  </si>
  <si>
    <t>19TE116</t>
  </si>
  <si>
    <t>SPLQPRECIP</t>
  </si>
  <si>
    <t>29FT017</t>
  </si>
  <si>
    <t>29TE003</t>
  </si>
  <si>
    <t>29TE161</t>
  </si>
  <si>
    <t>29TE162</t>
  </si>
  <si>
    <t>29TE110</t>
  </si>
  <si>
    <t>29TE111</t>
  </si>
  <si>
    <t>29TE118</t>
  </si>
  <si>
    <t>29TE066</t>
  </si>
  <si>
    <t>29TE064</t>
  </si>
  <si>
    <t>Steam
Flow</t>
  </si>
  <si>
    <t>8B Vacuum
(in. Hg)</t>
  </si>
  <si>
    <t>29FT051</t>
  </si>
  <si>
    <t>29FT052</t>
  </si>
  <si>
    <t>29PT046</t>
  </si>
  <si>
    <t>29PT047</t>
  </si>
  <si>
    <t>North
Hotwell
Soda</t>
  </si>
  <si>
    <t>8A
Vacuum
(in. Hg)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</si>
  <si>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</si>
  <si>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</si>
  <si>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</si>
  <si>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</si>
  <si>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</si>
  <si>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</si>
  <si>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</si>
  <si>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</si>
  <si>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</si>
  <si>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o40</t>
  </si>
  <si>
    <t>o41</t>
  </si>
  <si>
    <t>r5</t>
  </si>
  <si>
    <t>r7</t>
  </si>
  <si>
    <t>r9</t>
  </si>
  <si>
    <t>q18</t>
  </si>
  <si>
    <t>q20</t>
  </si>
  <si>
    <t>q22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</si>
  <si>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</si>
  <si>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</si>
  <si>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</si>
  <si>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</si>
  <si>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</si>
  <si>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</si>
  <si>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</si>
  <si>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</si>
  <si>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</si>
  <si>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</si>
  <si>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</si>
  <si>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</si>
  <si>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t7</t>
  </si>
  <si>
    <t>t9</t>
  </si>
  <si>
    <t>t5</t>
  </si>
  <si>
    <t>s18</t>
  </si>
  <si>
    <t>s20</t>
  </si>
  <si>
    <t>s22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</si>
  <si>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</si>
  <si>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</si>
  <si>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</si>
  <si>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</si>
  <si>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</si>
  <si>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</si>
  <si>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</si>
  <si>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</si>
  <si>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</si>
  <si>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</si>
  <si>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</si>
  <si>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</si>
  <si>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v7</t>
  </si>
  <si>
    <t>v9</t>
  </si>
  <si>
    <t>v5</t>
  </si>
  <si>
    <t>u18</t>
  </si>
  <si>
    <t>u20</t>
  </si>
  <si>
    <t>u22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</si>
  <si>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</si>
  <si>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</si>
  <si>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</si>
  <si>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</si>
  <si>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</si>
  <si>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</si>
  <si>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</si>
  <si>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</si>
  <si>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</si>
  <si>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</si>
  <si>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u40</t>
  </si>
  <si>
    <t>u41</t>
  </si>
  <si>
    <t>x7</t>
  </si>
  <si>
    <t>x9</t>
  </si>
  <si>
    <t>x5</t>
  </si>
  <si>
    <t>w18</t>
  </si>
  <si>
    <t>w20</t>
  </si>
  <si>
    <t>w22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</si>
  <si>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</si>
  <si>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</si>
  <si>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</si>
  <si>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</si>
  <si>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</si>
  <si>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</si>
  <si>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</si>
  <si>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</si>
  <si>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</si>
  <si>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</si>
  <si>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</si>
  <si>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</si>
  <si>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e155</t>
  </si>
  <si>
    <t>f155</t>
  </si>
  <si>
    <t>g155</t>
  </si>
  <si>
    <t>h155</t>
  </si>
  <si>
    <t>i155</t>
  </si>
  <si>
    <t>d155</t>
  </si>
  <si>
    <t>e156</t>
  </si>
  <si>
    <t>f156</t>
  </si>
  <si>
    <t>g156</t>
  </si>
  <si>
    <t>h156</t>
  </si>
  <si>
    <t>i156</t>
  </si>
  <si>
    <t>d156</t>
  </si>
  <si>
    <t>e157</t>
  </si>
  <si>
    <t>f157</t>
  </si>
  <si>
    <t>g157</t>
  </si>
  <si>
    <t>h157</t>
  </si>
  <si>
    <t>i157</t>
  </si>
  <si>
    <t>d157</t>
  </si>
  <si>
    <t>d158</t>
  </si>
  <si>
    <t>e158</t>
  </si>
  <si>
    <t>f158</t>
  </si>
  <si>
    <t>g158</t>
  </si>
  <si>
    <t>h158</t>
  </si>
  <si>
    <t>i158</t>
  </si>
  <si>
    <t>f159</t>
  </si>
  <si>
    <t>g159</t>
  </si>
  <si>
    <t>h159</t>
  </si>
  <si>
    <t>i159</t>
  </si>
  <si>
    <t>d159</t>
  </si>
  <si>
    <t>e159</t>
  </si>
  <si>
    <t>d163</t>
  </si>
  <si>
    <t>e163</t>
  </si>
  <si>
    <t>f163</t>
  </si>
  <si>
    <t>g163</t>
  </si>
  <si>
    <t>h163</t>
  </si>
  <si>
    <t>i163</t>
  </si>
  <si>
    <t>d164</t>
  </si>
  <si>
    <t>e164</t>
  </si>
  <si>
    <t>f164</t>
  </si>
  <si>
    <t>g164</t>
  </si>
  <si>
    <t>h164</t>
  </si>
  <si>
    <t>i164</t>
  </si>
  <si>
    <t>d165</t>
  </si>
  <si>
    <t>e165</t>
  </si>
  <si>
    <t>f165</t>
  </si>
  <si>
    <t>g165</t>
  </si>
  <si>
    <t>h165</t>
  </si>
  <si>
    <t>i165</t>
  </si>
  <si>
    <t>d166</t>
  </si>
  <si>
    <t>e166</t>
  </si>
  <si>
    <t>f166</t>
  </si>
  <si>
    <t>g166</t>
  </si>
  <si>
    <t>h166</t>
  </si>
  <si>
    <t>i166</t>
  </si>
  <si>
    <t>#8 WOF (ML)</t>
  </si>
  <si>
    <t>#8 WOF (HW)</t>
  </si>
  <si>
    <t>d167</t>
  </si>
  <si>
    <t>e167</t>
  </si>
  <si>
    <t>f167</t>
  </si>
  <si>
    <t>g167</t>
  </si>
  <si>
    <t>h167</t>
  </si>
  <si>
    <t>i167</t>
  </si>
  <si>
    <t>b182</t>
  </si>
  <si>
    <t>c182</t>
  </si>
  <si>
    <t>d182</t>
  </si>
  <si>
    <t>f182</t>
  </si>
  <si>
    <t>h182</t>
  </si>
  <si>
    <t>c183</t>
  </si>
  <si>
    <t>d183</t>
  </si>
  <si>
    <t>f183</t>
  </si>
  <si>
    <t>h183</t>
  </si>
  <si>
    <t>b183</t>
  </si>
  <si>
    <t>26. Mud Washer Syn - Floc Dilution</t>
  </si>
  <si>
    <t>Mud to Lake</t>
  </si>
  <si>
    <t>Middle</t>
  </si>
  <si>
    <t>Washer</t>
  </si>
  <si>
    <t>e211</t>
  </si>
  <si>
    <t>f211</t>
  </si>
  <si>
    <t>g211</t>
  </si>
  <si>
    <t>h211</t>
  </si>
  <si>
    <t>i211</t>
  </si>
  <si>
    <t>d211</t>
  </si>
  <si>
    <t>d212</t>
  </si>
  <si>
    <t>e212</t>
  </si>
  <si>
    <t>f212</t>
  </si>
  <si>
    <t>g212</t>
  </si>
  <si>
    <t>h212</t>
  </si>
  <si>
    <t>i212</t>
  </si>
  <si>
    <t>e217</t>
  </si>
  <si>
    <t>f217</t>
  </si>
  <si>
    <t>g217</t>
  </si>
  <si>
    <t>h217</t>
  </si>
  <si>
    <t>i217</t>
  </si>
  <si>
    <t>d217</t>
  </si>
  <si>
    <t>d218</t>
  </si>
  <si>
    <t>e218</t>
  </si>
  <si>
    <t>f218</t>
  </si>
  <si>
    <t>g218</t>
  </si>
  <si>
    <t>h218</t>
  </si>
  <si>
    <t>i218</t>
  </si>
  <si>
    <t>27. Mud Washer Operations Log #3</t>
  </si>
  <si>
    <t>Mud Washer #0</t>
  </si>
  <si>
    <t>Solids</t>
  </si>
  <si>
    <t>Flocculent</t>
  </si>
  <si>
    <t>Starch</t>
  </si>
  <si>
    <t>e247</t>
  </si>
  <si>
    <t>g247</t>
  </si>
  <si>
    <t>i247</t>
  </si>
  <si>
    <t>Inches (Mud Diver)</t>
  </si>
  <si>
    <t>Inches (Manual)</t>
  </si>
  <si>
    <t>g248</t>
  </si>
  <si>
    <t>i248</t>
  </si>
  <si>
    <t>e248</t>
  </si>
  <si>
    <t>f247</t>
  </si>
  <si>
    <t>h247</t>
  </si>
  <si>
    <t>d247</t>
  </si>
  <si>
    <t>f248</t>
  </si>
  <si>
    <t>h248</t>
  </si>
  <si>
    <t>d248</t>
  </si>
  <si>
    <t>e249</t>
  </si>
  <si>
    <t>f249</t>
  </si>
  <si>
    <t>g249</t>
  </si>
  <si>
    <t>h249</t>
  </si>
  <si>
    <t>i249</t>
  </si>
  <si>
    <t>d249</t>
  </si>
  <si>
    <t>e250</t>
  </si>
  <si>
    <t>f250</t>
  </si>
  <si>
    <t>g250</t>
  </si>
  <si>
    <t>h250</t>
  </si>
  <si>
    <t>i250</t>
  </si>
  <si>
    <t>d250</t>
  </si>
  <si>
    <t>e251</t>
  </si>
  <si>
    <t>f251</t>
  </si>
  <si>
    <t>g251</t>
  </si>
  <si>
    <t>h251</t>
  </si>
  <si>
    <t>i251</t>
  </si>
  <si>
    <t>d251</t>
  </si>
  <si>
    <t>e253</t>
  </si>
  <si>
    <t>f253</t>
  </si>
  <si>
    <t>g253</t>
  </si>
  <si>
    <t>h253</t>
  </si>
  <si>
    <t>i253</t>
  </si>
  <si>
    <t>d253</t>
  </si>
  <si>
    <t>d254</t>
  </si>
  <si>
    <t>e254</t>
  </si>
  <si>
    <t>f254</t>
  </si>
  <si>
    <t>g254</t>
  </si>
  <si>
    <t>h254</t>
  </si>
  <si>
    <t>i254</t>
  </si>
  <si>
    <t>d255</t>
  </si>
  <si>
    <t>e255</t>
  </si>
  <si>
    <t>f255</t>
  </si>
  <si>
    <t>g255</t>
  </si>
  <si>
    <t>h255</t>
  </si>
  <si>
    <t>i255</t>
  </si>
  <si>
    <t>d256</t>
  </si>
  <si>
    <t>e256</t>
  </si>
  <si>
    <t>f256</t>
  </si>
  <si>
    <t>g256</t>
  </si>
  <si>
    <t>h256</t>
  </si>
  <si>
    <t>i256</t>
  </si>
  <si>
    <t>d257</t>
  </si>
  <si>
    <t>e257</t>
  </si>
  <si>
    <t>f257</t>
  </si>
  <si>
    <t>g257</t>
  </si>
  <si>
    <t>h257</t>
  </si>
  <si>
    <t>i257</t>
  </si>
  <si>
    <t>Mud Washer #1</t>
  </si>
  <si>
    <t>Mud Washer #4</t>
  </si>
  <si>
    <t>Mud Washer #3</t>
  </si>
  <si>
    <t>Mud Washer #2</t>
  </si>
  <si>
    <t>e275</t>
  </si>
  <si>
    <t>g275</t>
  </si>
  <si>
    <t>i275</t>
  </si>
  <si>
    <t>g276</t>
  </si>
  <si>
    <t>i276</t>
  </si>
  <si>
    <t>e276</t>
  </si>
  <si>
    <t>e277</t>
  </si>
  <si>
    <t>f277</t>
  </si>
  <si>
    <t>g277</t>
  </si>
  <si>
    <t>h277</t>
  </si>
  <si>
    <t>i277</t>
  </si>
  <si>
    <t>d277</t>
  </si>
  <si>
    <t>e278</t>
  </si>
  <si>
    <t>f278</t>
  </si>
  <si>
    <t>g278</t>
  </si>
  <si>
    <t>h278</t>
  </si>
  <si>
    <t>i278</t>
  </si>
  <si>
    <t>d278</t>
  </si>
  <si>
    <t>g280</t>
  </si>
  <si>
    <t>i280</t>
  </si>
  <si>
    <t>e280</t>
  </si>
  <si>
    <t>e281</t>
  </si>
  <si>
    <t>g281</t>
  </si>
  <si>
    <t>i281</t>
  </si>
  <si>
    <t>d282</t>
  </si>
  <si>
    <t>e282</t>
  </si>
  <si>
    <t>f282</t>
  </si>
  <si>
    <t>g282</t>
  </si>
  <si>
    <t>h282</t>
  </si>
  <si>
    <t>i282</t>
  </si>
  <si>
    <t>d283</t>
  </si>
  <si>
    <t>e283</t>
  </si>
  <si>
    <t>f283</t>
  </si>
  <si>
    <t>g283</t>
  </si>
  <si>
    <t>SDDATE</t>
  </si>
  <si>
    <t>OASTSEED</t>
  </si>
  <si>
    <t>FT5</t>
  </si>
  <si>
    <t>h283</t>
  </si>
  <si>
    <t>i283</t>
  </si>
  <si>
    <t>g301</t>
  </si>
  <si>
    <t>i301</t>
  </si>
  <si>
    <t>e301</t>
  </si>
  <si>
    <t>e302</t>
  </si>
  <si>
    <t>g302</t>
  </si>
  <si>
    <t>i302</t>
  </si>
  <si>
    <t>d303</t>
  </si>
  <si>
    <t>e303</t>
  </si>
  <si>
    <t>f303</t>
  </si>
  <si>
    <t>g303</t>
  </si>
  <si>
    <t>h303</t>
  </si>
  <si>
    <t>i303</t>
  </si>
  <si>
    <t>d304</t>
  </si>
  <si>
    <t>e304</t>
  </si>
  <si>
    <t>f304</t>
  </si>
  <si>
    <t>g304</t>
  </si>
  <si>
    <t>h304</t>
  </si>
  <si>
    <t>i304</t>
  </si>
  <si>
    <t>e306</t>
  </si>
  <si>
    <t>g306</t>
  </si>
  <si>
    <t>i306</t>
  </si>
  <si>
    <t>e307</t>
  </si>
  <si>
    <t>g307</t>
  </si>
  <si>
    <t>i307</t>
  </si>
  <si>
    <t>d308</t>
  </si>
  <si>
    <t>e308</t>
  </si>
  <si>
    <t>f308</t>
  </si>
  <si>
    <t>g308</t>
  </si>
  <si>
    <t>h308</t>
  </si>
  <si>
    <t>i308</t>
  </si>
  <si>
    <t>d309</t>
  </si>
  <si>
    <t>e309</t>
  </si>
  <si>
    <t>f309</t>
  </si>
  <si>
    <t>g309</t>
  </si>
  <si>
    <t>h309</t>
  </si>
  <si>
    <t>i309</t>
  </si>
  <si>
    <t>g327</t>
  </si>
  <si>
    <t>i327</t>
  </si>
  <si>
    <t>e327</t>
  </si>
  <si>
    <t>e328</t>
  </si>
  <si>
    <t>g328</t>
  </si>
  <si>
    <t>i328</t>
  </si>
  <si>
    <t>d329</t>
  </si>
  <si>
    <t>e329</t>
  </si>
  <si>
    <t>f329</t>
  </si>
  <si>
    <t>g329</t>
  </si>
  <si>
    <t>h329</t>
  </si>
  <si>
    <t>i329</t>
  </si>
  <si>
    <t>d330</t>
  </si>
  <si>
    <t>e330</t>
  </si>
  <si>
    <t>f330</t>
  </si>
  <si>
    <t>g330</t>
  </si>
  <si>
    <t>h330</t>
  </si>
  <si>
    <t>i330</t>
  </si>
  <si>
    <t>e332</t>
  </si>
  <si>
    <t>g332</t>
  </si>
  <si>
    <t>i332</t>
  </si>
  <si>
    <t>e333</t>
  </si>
  <si>
    <t>g333</t>
  </si>
  <si>
    <t>i333</t>
  </si>
  <si>
    <t>d334</t>
  </si>
  <si>
    <t>e334</t>
  </si>
  <si>
    <t>f334</t>
  </si>
  <si>
    <t>g334</t>
  </si>
  <si>
    <t>h334</t>
  </si>
  <si>
    <t>i334</t>
  </si>
  <si>
    <t>d335</t>
  </si>
  <si>
    <t>e335</t>
  </si>
  <si>
    <t>f335</t>
  </si>
  <si>
    <t>g335</t>
  </si>
  <si>
    <t>h335</t>
  </si>
  <si>
    <t>i335</t>
  </si>
  <si>
    <t>g353</t>
  </si>
  <si>
    <t>i353</t>
  </si>
  <si>
    <t>e353</t>
  </si>
  <si>
    <t>e354</t>
  </si>
  <si>
    <t>g354</t>
  </si>
  <si>
    <t>i354</t>
  </si>
  <si>
    <t>d355</t>
  </si>
  <si>
    <t>e355</t>
  </si>
  <si>
    <t>f355</t>
  </si>
  <si>
    <t>g355</t>
  </si>
  <si>
    <t>h355</t>
  </si>
  <si>
    <t>i355</t>
  </si>
  <si>
    <t>d356</t>
  </si>
  <si>
    <t>e356</t>
  </si>
  <si>
    <t>f356</t>
  </si>
  <si>
    <t>g356</t>
  </si>
  <si>
    <t>h356</t>
  </si>
  <si>
    <t>i356</t>
  </si>
  <si>
    <t>e358</t>
  </si>
  <si>
    <t>g358</t>
  </si>
  <si>
    <t>i358</t>
  </si>
  <si>
    <t>e359</t>
  </si>
  <si>
    <t>g359</t>
  </si>
  <si>
    <t>i359</t>
  </si>
  <si>
    <t>d360</t>
  </si>
  <si>
    <t>e360</t>
  </si>
  <si>
    <t>f360</t>
  </si>
  <si>
    <t>g360</t>
  </si>
  <si>
    <t>h360</t>
  </si>
  <si>
    <t>i360</t>
  </si>
  <si>
    <t>d361</t>
  </si>
  <si>
    <t>e361</t>
  </si>
  <si>
    <t>f361</t>
  </si>
  <si>
    <t>g361</t>
  </si>
  <si>
    <t>h361</t>
  </si>
  <si>
    <t>i361</t>
  </si>
  <si>
    <t>Mud Washer #5</t>
  </si>
  <si>
    <t>Mud Washer #6</t>
  </si>
  <si>
    <t>Mud Washer #7</t>
  </si>
  <si>
    <t>Mud Washer #8</t>
  </si>
  <si>
    <t>g376</t>
  </si>
  <si>
    <t>i376</t>
  </si>
  <si>
    <t>e376</t>
  </si>
  <si>
    <t>e377</t>
  </si>
  <si>
    <t>g377</t>
  </si>
  <si>
    <t>i377</t>
  </si>
  <si>
    <t>d378</t>
  </si>
  <si>
    <t>e378</t>
  </si>
  <si>
    <t>f378</t>
  </si>
  <si>
    <t>g378</t>
  </si>
  <si>
    <t>h378</t>
  </si>
  <si>
    <t>i378</t>
  </si>
  <si>
    <t>d379</t>
  </si>
  <si>
    <t>e379</t>
  </si>
  <si>
    <t>f379</t>
  </si>
  <si>
    <t>g379</t>
  </si>
  <si>
    <t>h379</t>
  </si>
  <si>
    <t>i379</t>
  </si>
  <si>
    <t>e381</t>
  </si>
  <si>
    <t>g381</t>
  </si>
  <si>
    <t>i381</t>
  </si>
  <si>
    <t>e382</t>
  </si>
  <si>
    <t>g382</t>
  </si>
  <si>
    <t>i382</t>
  </si>
  <si>
    <t>d383</t>
  </si>
  <si>
    <t>e383</t>
  </si>
  <si>
    <t>f383</t>
  </si>
  <si>
    <t>g383</t>
  </si>
  <si>
    <t>h383</t>
  </si>
  <si>
    <t>i383</t>
  </si>
  <si>
    <t>d384</t>
  </si>
  <si>
    <t>e384</t>
  </si>
  <si>
    <t>f384</t>
  </si>
  <si>
    <t>g384</t>
  </si>
  <si>
    <t>h384</t>
  </si>
  <si>
    <t>i384</t>
  </si>
  <si>
    <t>g399</t>
  </si>
  <si>
    <t>i399</t>
  </si>
  <si>
    <t>e399</t>
  </si>
  <si>
    <t>e400</t>
  </si>
  <si>
    <t>g400</t>
  </si>
  <si>
    <t>i400</t>
  </si>
  <si>
    <t>d401</t>
  </si>
  <si>
    <t>e401</t>
  </si>
  <si>
    <t>f401</t>
  </si>
  <si>
    <t>g401</t>
  </si>
  <si>
    <t>h401</t>
  </si>
  <si>
    <t>i401</t>
  </si>
  <si>
    <t>d402</t>
  </si>
  <si>
    <t>e402</t>
  </si>
  <si>
    <t>f402</t>
  </si>
  <si>
    <t>g402</t>
  </si>
  <si>
    <t>h402</t>
  </si>
  <si>
    <t>i402</t>
  </si>
  <si>
    <t>e404</t>
  </si>
  <si>
    <t>g404</t>
  </si>
  <si>
    <t>i404</t>
  </si>
  <si>
    <t>e405</t>
  </si>
  <si>
    <t>g405</t>
  </si>
  <si>
    <t>i405</t>
  </si>
  <si>
    <t>d406</t>
  </si>
  <si>
    <t>e406</t>
  </si>
  <si>
    <t>f406</t>
  </si>
  <si>
    <t>g406</t>
  </si>
  <si>
    <t>h406</t>
  </si>
  <si>
    <t>i406</t>
  </si>
  <si>
    <t>d407</t>
  </si>
  <si>
    <t>e407</t>
  </si>
  <si>
    <t>f407</t>
  </si>
  <si>
    <t>g407</t>
  </si>
  <si>
    <t>h407</t>
  </si>
  <si>
    <t>i407</t>
  </si>
  <si>
    <t>g422</t>
  </si>
  <si>
    <t>i422</t>
  </si>
  <si>
    <t>e422</t>
  </si>
  <si>
    <t>e423</t>
  </si>
  <si>
    <t>g423</t>
  </si>
  <si>
    <t>i423</t>
  </si>
  <si>
    <t>d424</t>
  </si>
  <si>
    <t>e424</t>
  </si>
  <si>
    <t>f424</t>
  </si>
  <si>
    <t>g424</t>
  </si>
  <si>
    <t>h424</t>
  </si>
  <si>
    <t>i424</t>
  </si>
  <si>
    <t>d425</t>
  </si>
  <si>
    <t>e425</t>
  </si>
  <si>
    <t>f425</t>
  </si>
  <si>
    <t>g425</t>
  </si>
  <si>
    <t>h425</t>
  </si>
  <si>
    <t>i425</t>
  </si>
  <si>
    <t>e427</t>
  </si>
  <si>
    <t>g427</t>
  </si>
  <si>
    <t>i427</t>
  </si>
  <si>
    <t>e428</t>
  </si>
  <si>
    <t>g428</t>
  </si>
  <si>
    <t>i428</t>
  </si>
  <si>
    <t>d429</t>
  </si>
  <si>
    <t>e429</t>
  </si>
  <si>
    <t>f429</t>
  </si>
  <si>
    <t>g429</t>
  </si>
  <si>
    <t>h429</t>
  </si>
  <si>
    <t>i429</t>
  </si>
  <si>
    <t>d430</t>
  </si>
  <si>
    <t>e430</t>
  </si>
  <si>
    <t>f430</t>
  </si>
  <si>
    <t>g430</t>
  </si>
  <si>
    <t>h430</t>
  </si>
  <si>
    <t>avg.</t>
  </si>
  <si>
    <t>i430</t>
  </si>
  <si>
    <t>g445</t>
  </si>
  <si>
    <t>i445</t>
  </si>
  <si>
    <t>e445</t>
  </si>
  <si>
    <t>e446</t>
  </si>
  <si>
    <t>g446</t>
  </si>
  <si>
    <t>i446</t>
  </si>
  <si>
    <t>d447</t>
  </si>
  <si>
    <t>e447</t>
  </si>
  <si>
    <t>f447</t>
  </si>
  <si>
    <t>g447</t>
  </si>
  <si>
    <t>h447</t>
  </si>
  <si>
    <t>i447</t>
  </si>
  <si>
    <t>d448</t>
  </si>
  <si>
    <t>e448</t>
  </si>
  <si>
    <t>f448</t>
  </si>
  <si>
    <t>g448</t>
  </si>
  <si>
    <t>h448</t>
  </si>
  <si>
    <t>i448</t>
  </si>
  <si>
    <t>e450</t>
  </si>
  <si>
    <t>g450</t>
  </si>
  <si>
    <t>i450</t>
  </si>
  <si>
    <t>e452</t>
  </si>
  <si>
    <t>g452</t>
  </si>
  <si>
    <t>i452</t>
  </si>
  <si>
    <t>d453</t>
  </si>
  <si>
    <t>e453</t>
  </si>
  <si>
    <t>f453</t>
  </si>
  <si>
    <t>g453</t>
  </si>
  <si>
    <t>h453</t>
  </si>
  <si>
    <t>i453</t>
  </si>
  <si>
    <t>Q182</t>
  </si>
  <si>
    <t>Q183</t>
  </si>
  <si>
    <t>Q184</t>
  </si>
  <si>
    <t>R184</t>
  </si>
  <si>
    <t>S184</t>
  </si>
  <si>
    <t>T184</t>
  </si>
  <si>
    <t>D182</t>
  </si>
  <si>
    <t>D183</t>
  </si>
  <si>
    <t>D184</t>
  </si>
  <si>
    <t>E184</t>
  </si>
  <si>
    <t>F184</t>
  </si>
  <si>
    <t>G184</t>
  </si>
  <si>
    <t>M194</t>
  </si>
  <si>
    <t>M195</t>
  </si>
  <si>
    <t>Q194</t>
  </si>
  <si>
    <t>Q191</t>
  </si>
  <si>
    <t>D179</t>
  </si>
  <si>
    <t>O263</t>
  </si>
  <si>
    <t>AC255</t>
  </si>
  <si>
    <t>Y256</t>
  </si>
  <si>
    <t>Z256</t>
  </si>
  <si>
    <t>AA256</t>
  </si>
  <si>
    <t>AB256</t>
  </si>
  <si>
    <t>S262</t>
  </si>
  <si>
    <t>S265</t>
  </si>
  <si>
    <t>Y270</t>
  </si>
  <si>
    <t>J256</t>
  </si>
  <si>
    <t>D269</t>
  </si>
  <si>
    <t>D270</t>
  </si>
  <si>
    <t>D273</t>
  </si>
  <si>
    <t>D274</t>
  </si>
  <si>
    <t>g451</t>
  </si>
  <si>
    <t>i451</t>
  </si>
  <si>
    <t>e451</t>
  </si>
  <si>
    <t>d452</t>
  </si>
  <si>
    <t>f452</t>
  </si>
  <si>
    <t>h452</t>
  </si>
  <si>
    <t>g11</t>
  </si>
  <si>
    <t>g13</t>
  </si>
  <si>
    <t>g14</t>
  </si>
  <si>
    <t>g15</t>
  </si>
  <si>
    <t>g16</t>
  </si>
  <si>
    <t>g20</t>
  </si>
  <si>
    <t>g21</t>
  </si>
  <si>
    <t>g22</t>
  </si>
  <si>
    <t>g24</t>
  </si>
  <si>
    <t>g25</t>
  </si>
  <si>
    <t>g26</t>
  </si>
  <si>
    <t>g28</t>
  </si>
  <si>
    <t>g29</t>
  </si>
  <si>
    <t>g30</t>
  </si>
  <si>
    <t>g55</t>
  </si>
  <si>
    <t>g56</t>
  </si>
  <si>
    <t>g60</t>
  </si>
  <si>
    <t>g61</t>
  </si>
  <si>
    <t>g87</t>
  </si>
  <si>
    <t>g88</t>
  </si>
  <si>
    <t>g89</t>
  </si>
  <si>
    <t>g90</t>
  </si>
  <si>
    <t>g94</t>
  </si>
  <si>
    <t>g95</t>
  </si>
  <si>
    <t>g96</t>
  </si>
  <si>
    <t>g97</t>
  </si>
  <si>
    <t>g121</t>
  </si>
  <si>
    <t>g122</t>
  </si>
  <si>
    <t>g123</t>
  </si>
  <si>
    <t>g125</t>
  </si>
  <si>
    <t>g126</t>
  </si>
  <si>
    <t>g127</t>
  </si>
  <si>
    <t>22. Settler Data</t>
  </si>
  <si>
    <t>Floc Flow</t>
  </si>
  <si>
    <t>i5</t>
  </si>
  <si>
    <t>i6</t>
  </si>
  <si>
    <t>Settler 1 Mud Level, Inches (Manual)</t>
  </si>
  <si>
    <t>Settler 1 Mud Level, Inches (Mud Diver)</t>
  </si>
  <si>
    <t>Settler 3 Mud Level, Inches (Manual)</t>
  </si>
  <si>
    <t>Settler 3 Mud Level, Inches (Mud Diver)</t>
  </si>
  <si>
    <t>i7</t>
  </si>
  <si>
    <t>Settler 1 Solids, % (Manual)</t>
  </si>
  <si>
    <t>Settler 3 Solids, % (Manual)</t>
  </si>
  <si>
    <t>i9</t>
  </si>
  <si>
    <t>i10</t>
  </si>
  <si>
    <t>d11</t>
  </si>
  <si>
    <t>e11</t>
  </si>
  <si>
    <t>f11</t>
  </si>
  <si>
    <t>h11</t>
  </si>
  <si>
    <t>i11</t>
  </si>
  <si>
    <t>e22</t>
  </si>
  <si>
    <t>i22</t>
  </si>
  <si>
    <t>e20</t>
  </si>
  <si>
    <t>i20</t>
  </si>
  <si>
    <t>d24</t>
  </si>
  <si>
    <t>e24</t>
  </si>
  <si>
    <t>f24</t>
  </si>
  <si>
    <t>h24</t>
  </si>
  <si>
    <t>i24</t>
  </si>
  <si>
    <t>e13</t>
  </si>
  <si>
    <t>f13</t>
  </si>
  <si>
    <t>h13</t>
  </si>
  <si>
    <t>i13</t>
  </si>
  <si>
    <t>d13</t>
  </si>
  <si>
    <t>d26</t>
  </si>
  <si>
    <t>e26</t>
  </si>
  <si>
    <t>f26</t>
  </si>
  <si>
    <t>h26</t>
  </si>
  <si>
    <t>i26</t>
  </si>
  <si>
    <t>e14</t>
  </si>
  <si>
    <t>f14</t>
  </si>
  <si>
    <t>h14</t>
  </si>
  <si>
    <t>i14</t>
  </si>
  <si>
    <t>d14</t>
  </si>
  <si>
    <t>Settler 1 Starch Flow</t>
  </si>
  <si>
    <t>Settler 3 Starch Flow</t>
  </si>
  <si>
    <t>e15</t>
  </si>
  <si>
    <t>f15</t>
  </si>
  <si>
    <t>h15</t>
  </si>
  <si>
    <t>i15</t>
  </si>
  <si>
    <t>d15</t>
  </si>
  <si>
    <t>d28</t>
  </si>
  <si>
    <t>e28</t>
  </si>
  <si>
    <t>f28</t>
  </si>
  <si>
    <t>h28</t>
  </si>
  <si>
    <t>i28</t>
  </si>
  <si>
    <t>e16</t>
  </si>
  <si>
    <t>f16</t>
  </si>
  <si>
    <t>h16</t>
  </si>
  <si>
    <t>i16</t>
  </si>
  <si>
    <t>d16</t>
  </si>
  <si>
    <t>Settler 3 Starch Flow 2</t>
  </si>
  <si>
    <t>Settler 3 Starch Flow 1</t>
  </si>
  <si>
    <t>d25</t>
  </si>
  <si>
    <t>e25</t>
  </si>
  <si>
    <t>f25</t>
  </si>
  <si>
    <t>h25</t>
  </si>
  <si>
    <t>i25</t>
  </si>
  <si>
    <t>e21</t>
  </si>
  <si>
    <t>i21</t>
  </si>
  <si>
    <t>d30</t>
  </si>
  <si>
    <t>e30</t>
  </si>
  <si>
    <t>h30</t>
  </si>
  <si>
    <t>e29</t>
  </si>
  <si>
    <t>f29</t>
  </si>
  <si>
    <t>h29</t>
  </si>
  <si>
    <t>i29</t>
  </si>
  <si>
    <t>d29</t>
  </si>
  <si>
    <t>23. Slaker Data</t>
  </si>
  <si>
    <t>Lime to Slaker</t>
  </si>
  <si>
    <t>Liquor to Slaker</t>
  </si>
  <si>
    <t>Slaker Temp</t>
  </si>
  <si>
    <t>Lime to Digestion</t>
  </si>
  <si>
    <t>Lime Recovery Flow</t>
  </si>
  <si>
    <t>Lime Recovery Density</t>
  </si>
  <si>
    <t>e55</t>
  </si>
  <si>
    <t>d55</t>
  </si>
  <si>
    <t>d56</t>
  </si>
  <si>
    <t>e56</t>
  </si>
  <si>
    <t>d60</t>
  </si>
  <si>
    <t>e60</t>
  </si>
  <si>
    <t>f60</t>
  </si>
  <si>
    <t>h60</t>
  </si>
  <si>
    <t>i60</t>
  </si>
  <si>
    <t>d61</t>
  </si>
  <si>
    <t>e61</t>
  </si>
  <si>
    <t>f61</t>
  </si>
  <si>
    <t>h61</t>
  </si>
  <si>
    <t>i61</t>
  </si>
  <si>
    <t>e87</t>
  </si>
  <si>
    <t>f87</t>
  </si>
  <si>
    <t>h87</t>
  </si>
  <si>
    <t>i87</t>
  </si>
  <si>
    <t>d87</t>
  </si>
  <si>
    <t>e88</t>
  </si>
  <si>
    <t>f88</t>
  </si>
  <si>
    <t>h88</t>
  </si>
  <si>
    <t>i88</t>
  </si>
  <si>
    <t>d88</t>
  </si>
  <si>
    <t>e89</t>
  </si>
  <si>
    <t>f89</t>
  </si>
  <si>
    <t>h89</t>
  </si>
  <si>
    <t>i89</t>
  </si>
  <si>
    <t>d89</t>
  </si>
  <si>
    <t>e90</t>
  </si>
  <si>
    <t>f90</t>
  </si>
  <si>
    <t>h90</t>
  </si>
  <si>
    <t>i90</t>
  </si>
  <si>
    <t>d90</t>
  </si>
  <si>
    <t>e94</t>
  </si>
  <si>
    <t>f94</t>
  </si>
  <si>
    <t>h94</t>
  </si>
  <si>
    <t>i94</t>
  </si>
  <si>
    <t>d94</t>
  </si>
  <si>
    <t>d95</t>
  </si>
  <si>
    <t>e95</t>
  </si>
  <si>
    <t>f95</t>
  </si>
  <si>
    <t>h95</t>
  </si>
  <si>
    <t>i95</t>
  </si>
  <si>
    <t>d96</t>
  </si>
  <si>
    <t>e96</t>
  </si>
  <si>
    <t>f96</t>
  </si>
  <si>
    <t>h96</t>
  </si>
  <si>
    <t>i96</t>
  </si>
  <si>
    <t>d97</t>
  </si>
  <si>
    <t>e97</t>
  </si>
  <si>
    <t>f97</t>
  </si>
  <si>
    <t>h97</t>
  </si>
  <si>
    <t>i97</t>
  </si>
  <si>
    <t>24. Raw Materials</t>
  </si>
  <si>
    <t>Filter Aid Flow to Press, Days</t>
  </si>
  <si>
    <t>Sodium Sulfide Flow, Days</t>
  </si>
  <si>
    <t>Settler Floc Flow, Days</t>
  </si>
  <si>
    <t>Sodium Sulfide Flow, Nights</t>
  </si>
  <si>
    <t>Settler Floc Flow, Nights</t>
  </si>
  <si>
    <t>Filter Aid Flow to Press, Nights</t>
  </si>
  <si>
    <t>Sodium Sulfide Ending Tank Level</t>
  </si>
  <si>
    <t>25. Mud Washer #2</t>
  </si>
  <si>
    <t>e121</t>
  </si>
  <si>
    <t>f121</t>
  </si>
  <si>
    <t>h121</t>
  </si>
  <si>
    <t>i121</t>
  </si>
  <si>
    <t>f122</t>
  </si>
  <si>
    <t>h122</t>
  </si>
  <si>
    <t>i122</t>
  </si>
  <si>
    <t>e122</t>
  </si>
  <si>
    <t>f123</t>
  </si>
  <si>
    <t>h123</t>
  </si>
  <si>
    <t>i123</t>
  </si>
  <si>
    <t>e123</t>
  </si>
  <si>
    <t>f125</t>
  </si>
  <si>
    <t>h125</t>
  </si>
  <si>
    <t>i125</t>
  </si>
  <si>
    <t>e125</t>
  </si>
  <si>
    <t>e126</t>
  </si>
  <si>
    <t>f126</t>
  </si>
  <si>
    <t>h126</t>
  </si>
  <si>
    <t>i126</t>
  </si>
  <si>
    <t>e127</t>
  </si>
  <si>
    <t>f127</t>
  </si>
  <si>
    <t>h127</t>
  </si>
  <si>
    <t>i127</t>
  </si>
  <si>
    <t>d129</t>
  </si>
  <si>
    <t>d122</t>
  </si>
  <si>
    <t>d123</t>
  </si>
  <si>
    <t>d125</t>
  </si>
  <si>
    <t>d126</t>
  </si>
  <si>
    <t>d127</t>
  </si>
  <si>
    <t>d121</t>
  </si>
  <si>
    <t>Dilution</t>
  </si>
  <si>
    <t>Wash Water Flow</t>
  </si>
  <si>
    <t>Wash Water Temp</t>
  </si>
  <si>
    <t>Mud Lake Totalizers</t>
  </si>
  <si>
    <t>Surge</t>
  </si>
  <si>
    <t>#2</t>
  </si>
  <si>
    <t>#4 to #8</t>
  </si>
  <si>
    <t>Caustic</t>
  </si>
  <si>
    <t>Totalizer</t>
  </si>
  <si>
    <t>Number of Washers Operating</t>
  </si>
  <si>
    <t>Digestion</t>
  </si>
  <si>
    <t>Calcination Hot End</t>
  </si>
  <si>
    <t>Calcination Cold End</t>
  </si>
  <si>
    <t>Filtration</t>
  </si>
  <si>
    <t>Clarification</t>
  </si>
  <si>
    <t>Precipitation</t>
  </si>
  <si>
    <t>Default Drive</t>
  </si>
  <si>
    <t>Day</t>
  </si>
  <si>
    <t>Night</t>
  </si>
  <si>
    <t>Evaporation-HID</t>
  </si>
  <si>
    <t>Today_Prod_Log.xls</t>
  </si>
  <si>
    <t>Temporary Directory</t>
  </si>
  <si>
    <t>J:\Digestion\Today_Prod_Log.xls</t>
  </si>
  <si>
    <t>J:\miscellaneous</t>
  </si>
  <si>
    <t>J</t>
  </si>
  <si>
    <t>Sheet</t>
  </si>
  <si>
    <t>Source Cell</t>
  </si>
  <si>
    <t>Destination Cell</t>
  </si>
  <si>
    <t>HI-1</t>
  </si>
  <si>
    <t>HI-3</t>
  </si>
  <si>
    <t>B18</t>
  </si>
  <si>
    <t>Values</t>
  </si>
  <si>
    <t>End Row</t>
  </si>
  <si>
    <t>Fill Caustic</t>
  </si>
  <si>
    <t>E-2</t>
  </si>
  <si>
    <t>Form 29</t>
  </si>
  <si>
    <t>HI-1 Feed Temperature</t>
  </si>
  <si>
    <t>#1 Heater</t>
  </si>
  <si>
    <t>#2 Heater</t>
  </si>
  <si>
    <t>#3 Heater</t>
  </si>
  <si>
    <t>#4 Heater</t>
  </si>
  <si>
    <t>Filtrate Temp. to HI-1</t>
  </si>
  <si>
    <t>#1 FT Temperature</t>
  </si>
  <si>
    <t>#2 FT Temperature</t>
  </si>
  <si>
    <t>#3 FT Temperature</t>
  </si>
  <si>
    <t>#4 FT Temperature</t>
  </si>
  <si>
    <t>#4 Flash Vacuum (in. Hg.)</t>
  </si>
  <si>
    <t>HI-3 to E-2 Flow</t>
  </si>
  <si>
    <t>HI-3 Total Spent Liq. Flow</t>
  </si>
  <si>
    <t>Form 30</t>
  </si>
  <si>
    <t>HI-1 Total Spent Liquor Flow</t>
  </si>
  <si>
    <t>HI-1 Filtrate Flow</t>
  </si>
  <si>
    <t>#4 FT Tail Leg Temp</t>
  </si>
  <si>
    <t>HI-1 Hotwell Soda</t>
  </si>
  <si>
    <t>#1 Flash Tank</t>
  </si>
  <si>
    <t>#2 Flash Tank</t>
  </si>
  <si>
    <t>#3 Flash Tank</t>
  </si>
  <si>
    <t>#4 Flash Tank</t>
  </si>
  <si>
    <t>HI-3 Baro. Cond. Tail Leg Temp</t>
  </si>
  <si>
    <t>HI-3 Hotwell Soda</t>
  </si>
  <si>
    <t>Form 31</t>
  </si>
  <si>
    <t>HI-3 Filtrate Flow</t>
  </si>
  <si>
    <t>#4 Flash Tank Temp</t>
  </si>
  <si>
    <t>River Water Temp</t>
  </si>
  <si>
    <t>Spent Liquor Flow from Precip</t>
  </si>
  <si>
    <t>HI-1 to E-2 Flow</t>
  </si>
  <si>
    <t>E-2 Inlet</t>
  </si>
  <si>
    <t>#9 Heater Discharge Temp</t>
  </si>
  <si>
    <t>#7 Heater Discharge Temp</t>
  </si>
  <si>
    <t>#8 Heater Discharge Temp</t>
  </si>
  <si>
    <t>#10 Heater Discharge Temp</t>
  </si>
  <si>
    <t>#7 Flash Tank Discharge Temp</t>
  </si>
  <si>
    <t>#8A Liquor Exit Temp</t>
  </si>
  <si>
    <t>#8B Liquor Exit Temp</t>
  </si>
  <si>
    <t>Form 32</t>
  </si>
  <si>
    <t>Steam Flow</t>
  </si>
  <si>
    <t>Condensate Flow</t>
  </si>
  <si>
    <t>North Hot Well Soda</t>
  </si>
  <si>
    <t>8A Vacuum (in. Hg)</t>
  </si>
  <si>
    <t>8B Vacuum (in. Hg)</t>
  </si>
  <si>
    <t xml:space="preserve"> 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</si>
  <si>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</si>
  <si>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</si>
  <si>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</si>
  <si>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</si>
  <si>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</si>
  <si>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</si>
  <si>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</si>
  <si>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</si>
  <si>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</si>
  <si>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</si>
  <si>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</si>
  <si>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</si>
  <si>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</si>
  <si>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</si>
  <si>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</si>
  <si>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B19</t>
  </si>
  <si>
    <t>B20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</si>
  <si>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</si>
  <si>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</si>
  <si>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</si>
  <si>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</si>
  <si>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</si>
  <si>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</si>
  <si>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</si>
  <si>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</si>
  <si>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</si>
  <si>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</si>
  <si>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</si>
  <si>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</si>
  <si>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</si>
  <si>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</si>
  <si>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</si>
  <si>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</si>
  <si>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</si>
  <si>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</si>
  <si>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</si>
  <si>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</si>
  <si>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</si>
  <si>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</si>
  <si>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</si>
  <si>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</si>
  <si>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E31</t>
  </si>
  <si>
    <t>E32</t>
  </si>
  <si>
    <t>E33</t>
  </si>
  <si>
    <t>E34</t>
  </si>
  <si>
    <t>E35</t>
  </si>
  <si>
    <t>Start Row</t>
  </si>
  <si>
    <t>PAGE 1</t>
  </si>
  <si>
    <t>I9</t>
  </si>
  <si>
    <t>K9</t>
  </si>
  <si>
    <t>M9</t>
  </si>
  <si>
    <t>O9</t>
  </si>
  <si>
    <t>Y9</t>
  </si>
  <si>
    <t>AA9</t>
  </si>
  <si>
    <t>AC9</t>
  </si>
  <si>
    <t>AE9</t>
  </si>
  <si>
    <t>I11</t>
  </si>
  <si>
    <t>K11</t>
  </si>
  <si>
    <t>M11</t>
  </si>
  <si>
    <t>O11</t>
  </si>
  <si>
    <t>Q11</t>
  </si>
  <si>
    <t>S11</t>
  </si>
  <si>
    <t>U11</t>
  </si>
  <si>
    <t>W11</t>
  </si>
  <si>
    <t>Y11</t>
  </si>
  <si>
    <t>AA11</t>
  </si>
  <si>
    <t>AC11</t>
  </si>
  <si>
    <t>AE11</t>
  </si>
  <si>
    <t>I17</t>
  </si>
  <si>
    <t>K17</t>
  </si>
  <si>
    <t>M17</t>
  </si>
  <si>
    <t>O17</t>
  </si>
  <si>
    <t>Q17</t>
  </si>
  <si>
    <t>S17</t>
  </si>
  <si>
    <t>U17</t>
  </si>
  <si>
    <t>W17</t>
  </si>
  <si>
    <t>Y17</t>
  </si>
  <si>
    <t>AA17</t>
  </si>
  <si>
    <t>AC17</t>
  </si>
  <si>
    <t>AE17</t>
  </si>
  <si>
    <t>O25</t>
  </si>
  <si>
    <t>W25</t>
  </si>
  <si>
    <t>AE25</t>
  </si>
  <si>
    <t>Calcination Input</t>
  </si>
  <si>
    <t>Form 33. Calcination Report -- Hot and Cold End</t>
  </si>
  <si>
    <t>Cold End - Shift 1</t>
  </si>
  <si>
    <t>Fresh Water Tank Temp</t>
  </si>
  <si>
    <t>Fresh Water Flow</t>
  </si>
  <si>
    <t>Cold End Temp</t>
  </si>
  <si>
    <t>Operating Hours</t>
  </si>
  <si>
    <t>Cold End - Shift 2</t>
  </si>
  <si>
    <t>Kiln 1</t>
  </si>
  <si>
    <t>Kiln 2</t>
  </si>
  <si>
    <t>Kiln 3</t>
  </si>
  <si>
    <t>Hot End - Shift 1</t>
  </si>
  <si>
    <t>Hot End - Shift 2</t>
  </si>
  <si>
    <t>Form 34. Calcination Report -- Hydrate Dried</t>
  </si>
  <si>
    <t>Hydrate Dryer</t>
  </si>
  <si>
    <t>Density Tank Temp</t>
  </si>
  <si>
    <t>Shift 2</t>
  </si>
  <si>
    <t>C5</t>
  </si>
  <si>
    <t>D5</t>
  </si>
  <si>
    <t>G5</t>
  </si>
  <si>
    <t>H5</t>
  </si>
  <si>
    <t>I5</t>
  </si>
  <si>
    <t>J5</t>
  </si>
  <si>
    <t>L5</t>
  </si>
  <si>
    <t>M5</t>
  </si>
  <si>
    <t>N5</t>
  </si>
  <si>
    <t>O5</t>
  </si>
  <si>
    <t>C6</t>
  </si>
  <si>
    <t>D6</t>
  </si>
  <si>
    <t>G6</t>
  </si>
  <si>
    <t>H6</t>
  </si>
  <si>
    <t>I6</t>
  </si>
  <si>
    <t>J6</t>
  </si>
  <si>
    <t>L6</t>
  </si>
  <si>
    <t>M6</t>
  </si>
  <si>
    <t>N6</t>
  </si>
  <si>
    <t>O6</t>
  </si>
  <si>
    <t>C7</t>
  </si>
  <si>
    <t>D7</t>
  </si>
  <si>
    <t>G7</t>
  </si>
  <si>
    <t>H7</t>
  </si>
  <si>
    <t>I7</t>
  </si>
  <si>
    <t>J7</t>
  </si>
  <si>
    <t>L7</t>
  </si>
  <si>
    <t>M7</t>
  </si>
  <si>
    <t>N7</t>
  </si>
  <si>
    <t>O7</t>
  </si>
  <si>
    <t>J8</t>
  </si>
  <si>
    <t>O8</t>
  </si>
  <si>
    <t>C25</t>
  </si>
  <si>
    <t>D25</t>
  </si>
  <si>
    <t>E25</t>
  </si>
  <si>
    <t>B25</t>
  </si>
  <si>
    <t>C26</t>
  </si>
  <si>
    <t>D26</t>
  </si>
  <si>
    <t>E26</t>
  </si>
  <si>
    <t>B26</t>
  </si>
  <si>
    <t>B27</t>
  </si>
  <si>
    <t>C11</t>
  </si>
  <si>
    <t>D11</t>
  </si>
  <si>
    <t>G11</t>
  </si>
  <si>
    <t>H11</t>
  </si>
  <si>
    <t>J11</t>
  </si>
  <si>
    <t>L11</t>
  </si>
  <si>
    <t>N11</t>
  </si>
  <si>
    <t>C12</t>
  </si>
  <si>
    <t>D12</t>
  </si>
  <si>
    <t>G12</t>
  </si>
  <si>
    <t>H12</t>
  </si>
  <si>
    <t>I12</t>
  </si>
  <si>
    <t>J12</t>
  </si>
  <si>
    <t>L12</t>
  </si>
  <si>
    <t>M12</t>
  </si>
  <si>
    <t>N12</t>
  </si>
  <si>
    <t>O12</t>
  </si>
  <si>
    <t>C13</t>
  </si>
  <si>
    <t>D13</t>
  </si>
  <si>
    <t>G13</t>
  </si>
  <si>
    <t>H13</t>
  </si>
  <si>
    <t>I13</t>
  </si>
  <si>
    <t>J13</t>
  </si>
  <si>
    <t>L13</t>
  </si>
  <si>
    <t>M13</t>
  </si>
  <si>
    <t>N13</t>
  </si>
  <si>
    <t>O13</t>
  </si>
  <si>
    <t>J14</t>
  </si>
  <si>
    <t>O14</t>
  </si>
  <si>
    <t>G25</t>
  </si>
  <si>
    <t>H25</t>
  </si>
  <si>
    <t>I25</t>
  </si>
  <si>
    <t>J25</t>
  </si>
  <si>
    <t>H26</t>
  </si>
  <si>
    <t>I26</t>
  </si>
  <si>
    <t>J26</t>
  </si>
  <si>
    <t>G26</t>
  </si>
  <si>
    <t>G27</t>
  </si>
  <si>
    <t>DAYS - COLD END</t>
  </si>
  <si>
    <t>NIGHTS - COLD END</t>
  </si>
  <si>
    <t>DAYS - HOT END</t>
  </si>
  <si>
    <t>F11</t>
  </si>
  <si>
    <t>P11</t>
  </si>
  <si>
    <t>R11</t>
  </si>
  <si>
    <t>T11</t>
  </si>
  <si>
    <t>V11</t>
  </si>
  <si>
    <t>X11</t>
  </si>
  <si>
    <t>[Not Used]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</si>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</sst>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m/d/yy\ h:mm;@"/>
  </numFmts>
  <fonts count="2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0" fillId="6" borderId="36" applyNumberFormat="0" applyAlignment="0" applyProtection="0"/>
  </cellStyleXfs>
  <cellXfs count="15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1" fontId="0" fillId="0" borderId="0" xfId="0" applyNumberFormat="1"/>
    <xf numFmtId="1" fontId="0" fillId="2" borderId="0" xfId="0" applyNumberFormat="1" applyFill="1"/>
    <xf numFmtId="164" fontId="0" fillId="0" borderId="0" xfId="0" applyNumberFormat="1"/>
    <xf numFmtId="165" fontId="0" fillId="0" borderId="0" xfId="0" applyNumberFormat="1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2" borderId="1" xfId="0" applyFill="1" applyBorder="1"/>
    <xf numFmtId="0" fontId="0" fillId="2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2" xfId="0" applyBorder="1"/>
    <xf numFmtId="0" fontId="0" fillId="0" borderId="3" xfId="0" applyBorder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0" xfId="0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NumberForma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49" fontId="0" fillId="0" borderId="0" xfId="0" applyNumberFormat="1"/>
    <xf numFmtId="164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49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49" fontId="2" fillId="0" borderId="0" xfId="0" applyNumberFormat="1" applyFont="1"/>
    <xf numFmtId="0" fontId="2" fillId="0" borderId="2" xfId="0" applyFont="1" applyBorder="1"/>
    <xf numFmtId="166" fontId="2" fillId="0" borderId="0" xfId="0" applyNumberFormat="1" applyFont="1"/>
    <xf numFmtId="165" fontId="2" fillId="0" borderId="0" xfId="0" applyNumberFormat="1" applyFont="1" applyFill="1"/>
    <xf numFmtId="2" fontId="2" fillId="0" borderId="0" xfId="0" applyNumberFormat="1" applyFont="1" applyFill="1"/>
    <xf numFmtId="16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center"/>
    </xf>
    <xf numFmtId="0" fontId="9" fillId="0" borderId="0" xfId="0" applyFont="1"/>
    <xf numFmtId="0" fontId="1" fillId="0" borderId="0" xfId="0" applyFont="1"/>
    <xf numFmtId="0" fontId="10" fillId="0" borderId="0" xfId="0" applyFont="1"/>
    <xf numFmtId="14" fontId="9" fillId="0" borderId="0" xfId="0" applyNumberFormat="1" applyFont="1"/>
    <xf numFmtId="14" fontId="0" fillId="3" borderId="0" xfId="0" applyNumberFormat="1" applyFill="1"/>
    <xf numFmtId="14" fontId="2" fillId="3" borderId="0" xfId="0" applyNumberFormat="1" applyFont="1" applyFill="1"/>
    <xf numFmtId="14" fontId="0" fillId="4" borderId="0" xfId="0" applyNumberFormat="1" applyFill="1"/>
    <xf numFmtId="14" fontId="0" fillId="0" borderId="0" xfId="0" applyNumberFormat="1" applyFill="1"/>
    <xf numFmtId="14" fontId="10" fillId="0" borderId="0" xfId="0" applyNumberFormat="1" applyFont="1" applyFill="1"/>
    <xf numFmtId="14" fontId="2" fillId="0" borderId="0" xfId="0" applyNumberFormat="1" applyFont="1" applyFill="1"/>
    <xf numFmtId="0" fontId="0" fillId="0" borderId="1" xfId="0" applyBorder="1"/>
    <xf numFmtId="0" fontId="2" fillId="0" borderId="1" xfId="0" applyFont="1" applyBorder="1"/>
    <xf numFmtId="0" fontId="0" fillId="0" borderId="0" xfId="0" applyBorder="1"/>
    <xf numFmtId="0" fontId="2" fillId="0" borderId="0" xfId="0" applyFont="1" applyBorder="1"/>
    <xf numFmtId="1" fontId="0" fillId="0" borderId="0" xfId="0" applyNumberFormat="1" applyFill="1"/>
    <xf numFmtId="0" fontId="10" fillId="0" borderId="0" xfId="0" applyFont="1" applyFill="1" applyBorder="1" applyAlignment="1" applyProtection="1">
      <alignment wrapText="1"/>
    </xf>
    <xf numFmtId="0" fontId="10" fillId="0" borderId="0" xfId="0" applyFont="1" applyFill="1" applyBorder="1" applyProtection="1"/>
    <xf numFmtId="0" fontId="10" fillId="0" borderId="1" xfId="0" applyFont="1" applyFill="1" applyBorder="1" applyProtection="1"/>
    <xf numFmtId="0" fontId="10" fillId="0" borderId="1" xfId="0" applyFont="1" applyFill="1" applyBorder="1" applyAlignment="1">
      <alignment wrapText="1"/>
    </xf>
    <xf numFmtId="0" fontId="10" fillId="0" borderId="1" xfId="0" applyFont="1" applyFill="1" applyBorder="1"/>
    <xf numFmtId="0" fontId="11" fillId="2" borderId="0" xfId="0" applyFont="1" applyFill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0" xfId="0" applyFont="1" applyBorder="1"/>
    <xf numFmtId="0" fontId="11" fillId="0" borderId="7" xfId="0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Fill="1" applyBorder="1" applyProtection="1"/>
    <xf numFmtId="0" fontId="11" fillId="0" borderId="1" xfId="0" applyFont="1" applyFill="1" applyBorder="1" applyAlignment="1">
      <alignment wrapText="1"/>
    </xf>
    <xf numFmtId="0" fontId="10" fillId="0" borderId="0" xfId="0" applyFont="1" applyFill="1" applyBorder="1"/>
    <xf numFmtId="1" fontId="11" fillId="0" borderId="5" xfId="0" applyNumberFormat="1" applyFont="1" applyBorder="1"/>
    <xf numFmtId="1" fontId="11" fillId="0" borderId="8" xfId="0" applyNumberFormat="1" applyFont="1" applyBorder="1"/>
    <xf numFmtId="0" fontId="11" fillId="0" borderId="9" xfId="0" applyFont="1" applyBorder="1" applyAlignment="1">
      <alignment wrapText="1"/>
    </xf>
    <xf numFmtId="0" fontId="11" fillId="0" borderId="10" xfId="0" applyFont="1" applyBorder="1"/>
    <xf numFmtId="0" fontId="10" fillId="0" borderId="11" xfId="0" applyFont="1" applyFill="1" applyBorder="1"/>
    <xf numFmtId="1" fontId="11" fillId="0" borderId="12" xfId="0" applyNumberFormat="1" applyFont="1" applyBorder="1"/>
    <xf numFmtId="1" fontId="11" fillId="0" borderId="13" xfId="0" applyNumberFormat="1" applyFont="1" applyBorder="1"/>
    <xf numFmtId="1" fontId="11" fillId="0" borderId="14" xfId="0" applyNumberFormat="1" applyFont="1" applyBorder="1"/>
    <xf numFmtId="1" fontId="11" fillId="0" borderId="15" xfId="0" applyNumberFormat="1" applyFont="1" applyBorder="1"/>
    <xf numFmtId="1" fontId="11" fillId="0" borderId="16" xfId="0" applyNumberFormat="1" applyFont="1" applyBorder="1"/>
    <xf numFmtId="1" fontId="11" fillId="0" borderId="17" xfId="0" applyNumberFormat="1" applyFont="1" applyBorder="1"/>
    <xf numFmtId="1" fontId="11" fillId="0" borderId="18" xfId="0" applyNumberFormat="1" applyFont="1" applyBorder="1"/>
    <xf numFmtId="1" fontId="11" fillId="0" borderId="19" xfId="0" applyNumberFormat="1" applyFont="1" applyBorder="1"/>
    <xf numFmtId="1" fontId="11" fillId="0" borderId="20" xfId="0" applyNumberFormat="1" applyFont="1" applyBorder="1"/>
    <xf numFmtId="1" fontId="11" fillId="0" borderId="21" xfId="0" applyNumberFormat="1" applyFont="1" applyBorder="1"/>
    <xf numFmtId="0" fontId="11" fillId="0" borderId="11" xfId="0" applyFont="1" applyBorder="1" applyAlignment="1">
      <alignment wrapText="1"/>
    </xf>
    <xf numFmtId="0" fontId="11" fillId="0" borderId="13" xfId="0" applyFont="1" applyBorder="1" applyAlignment="1">
      <alignment wrapText="1"/>
    </xf>
    <xf numFmtId="0" fontId="11" fillId="0" borderId="14" xfId="0" applyFont="1" applyBorder="1" applyAlignment="1">
      <alignment wrapText="1"/>
    </xf>
    <xf numFmtId="0" fontId="11" fillId="0" borderId="15" xfId="0" applyFont="1" applyBorder="1" applyAlignment="1">
      <alignment wrapText="1"/>
    </xf>
    <xf numFmtId="0" fontId="13" fillId="0" borderId="0" xfId="0" applyFont="1" applyFill="1"/>
    <xf numFmtId="0" fontId="11" fillId="0" borderId="22" xfId="0" applyFont="1" applyBorder="1" applyAlignment="1">
      <alignment wrapText="1"/>
    </xf>
    <xf numFmtId="0" fontId="11" fillId="2" borderId="22" xfId="0" applyFont="1" applyFill="1" applyBorder="1" applyAlignment="1">
      <alignment wrapText="1"/>
    </xf>
    <xf numFmtId="0" fontId="11" fillId="2" borderId="23" xfId="0" applyFont="1" applyFill="1" applyBorder="1" applyAlignment="1">
      <alignment wrapText="1"/>
    </xf>
    <xf numFmtId="0" fontId="10" fillId="0" borderId="24" xfId="0" applyFont="1" applyBorder="1"/>
    <xf numFmtId="0" fontId="11" fillId="2" borderId="0" xfId="0" applyFont="1" applyFill="1" applyBorder="1" applyAlignment="1">
      <alignment wrapText="1"/>
    </xf>
    <xf numFmtId="0" fontId="11" fillId="2" borderId="10" xfId="0" applyFont="1" applyFill="1" applyBorder="1" applyAlignment="1">
      <alignment wrapText="1"/>
    </xf>
    <xf numFmtId="0" fontId="10" fillId="0" borderId="0" xfId="0" applyFont="1" applyBorder="1"/>
    <xf numFmtId="0" fontId="10" fillId="0" borderId="17" xfId="0" applyFont="1" applyBorder="1"/>
    <xf numFmtId="0" fontId="10" fillId="0" borderId="18" xfId="0" applyFont="1" applyBorder="1"/>
    <xf numFmtId="0" fontId="11" fillId="0" borderId="0" xfId="0" applyFont="1" applyFill="1"/>
    <xf numFmtId="14" fontId="11" fillId="0" borderId="0" xfId="0" applyNumberFormat="1" applyFont="1" applyFill="1"/>
    <xf numFmtId="0" fontId="10" fillId="0" borderId="0" xfId="0" applyFont="1" applyFill="1"/>
    <xf numFmtId="0" fontId="11" fillId="2" borderId="1" xfId="0" applyFont="1" applyFill="1" applyBorder="1" applyAlignment="1">
      <alignment wrapText="1"/>
    </xf>
    <xf numFmtId="0" fontId="10" fillId="0" borderId="25" xfId="0" applyFont="1" applyBorder="1"/>
    <xf numFmtId="0" fontId="10" fillId="0" borderId="9" xfId="0" applyFont="1" applyBorder="1"/>
    <xf numFmtId="0" fontId="11" fillId="2" borderId="14" xfId="0" applyFont="1" applyFill="1" applyBorder="1" applyAlignment="1">
      <alignment wrapText="1"/>
    </xf>
    <xf numFmtId="165" fontId="11" fillId="0" borderId="14" xfId="0" applyNumberFormat="1" applyFont="1" applyBorder="1"/>
    <xf numFmtId="165" fontId="11" fillId="0" borderId="15" xfId="0" applyNumberFormat="1" applyFont="1" applyBorder="1"/>
    <xf numFmtId="14" fontId="15" fillId="2" borderId="0" xfId="0" applyNumberFormat="1" applyFont="1" applyFill="1"/>
    <xf numFmtId="167" fontId="15" fillId="0" borderId="26" xfId="0" applyNumberFormat="1" applyFont="1" applyBorder="1"/>
    <xf numFmtId="167" fontId="15" fillId="0" borderId="27" xfId="0" applyNumberFormat="1" applyFont="1" applyBorder="1"/>
    <xf numFmtId="167" fontId="15" fillId="0" borderId="28" xfId="0" applyNumberFormat="1" applyFont="1" applyBorder="1"/>
    <xf numFmtId="167" fontId="15" fillId="0" borderId="29" xfId="0" applyNumberFormat="1" applyFont="1" applyBorder="1"/>
    <xf numFmtId="0" fontId="15" fillId="2" borderId="0" xfId="0" applyFont="1" applyFill="1"/>
    <xf numFmtId="0" fontId="16" fillId="0" borderId="0" xfId="0" applyFont="1" applyFill="1"/>
    <xf numFmtId="0" fontId="17" fillId="0" borderId="30" xfId="0" applyFont="1" applyBorder="1"/>
    <xf numFmtId="0" fontId="17" fillId="0" borderId="24" xfId="0" applyFont="1" applyBorder="1"/>
    <xf numFmtId="167" fontId="15" fillId="0" borderId="31" xfId="0" applyNumberFormat="1" applyFont="1" applyBorder="1"/>
    <xf numFmtId="167" fontId="15" fillId="0" borderId="9" xfId="0" applyNumberFormat="1" applyFont="1" applyBorder="1"/>
    <xf numFmtId="0" fontId="17" fillId="0" borderId="0" xfId="0" applyFont="1"/>
    <xf numFmtId="1" fontId="2" fillId="0" borderId="0" xfId="0" applyNumberFormat="1" applyFont="1"/>
    <xf numFmtId="0" fontId="3" fillId="4" borderId="5" xfId="0" applyFont="1" applyFill="1" applyBorder="1" applyAlignment="1">
      <alignment horizontal="center"/>
    </xf>
    <xf numFmtId="164" fontId="3" fillId="4" borderId="5" xfId="0" applyNumberFormat="1" applyFont="1" applyFill="1" applyBorder="1" applyAlignment="1">
      <alignment horizontal="center"/>
    </xf>
    <xf numFmtId="166" fontId="0" fillId="0" borderId="0" xfId="0" applyNumberFormat="1"/>
    <xf numFmtId="0" fontId="18" fillId="0" borderId="0" xfId="0" applyFont="1"/>
    <xf numFmtId="0" fontId="1" fillId="0" borderId="0" xfId="0" applyFont="1" applyFill="1"/>
    <xf numFmtId="0" fontId="2" fillId="2" borderId="0" xfId="0" applyFont="1" applyFill="1"/>
    <xf numFmtId="0" fontId="10" fillId="2" borderId="0" xfId="0" applyFont="1" applyFill="1"/>
    <xf numFmtId="0" fontId="20" fillId="6" borderId="36" xfId="1"/>
    <xf numFmtId="0" fontId="4" fillId="7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0" borderId="0" xfId="0" applyFont="1" applyFill="1"/>
    <xf numFmtId="0" fontId="3" fillId="0" borderId="0" xfId="0" applyFont="1" applyFill="1"/>
    <xf numFmtId="0" fontId="12" fillId="0" borderId="25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12" fillId="0" borderId="33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12" fillId="0" borderId="35" xfId="0" applyFont="1" applyBorder="1" applyAlignment="1">
      <alignment horizontal="center"/>
    </xf>
  </cellXfs>
  <cellStyles count="2">
    <cellStyle name="Calculation" xfId="1" builtinId="22"/>
    <cellStyle name="Normal" xfId="0" builtinId="0"/>
  </cellStyles>
  <dxfs count="1">
    <dxf>
      <font>
        <strike/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104775</xdr:rowOff>
        </xdr:from>
        <xdr:to>
          <xdr:col>8</xdr:col>
          <xdr:colOff>619125</xdr:colOff>
          <xdr:row>10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9525</xdr:rowOff>
        </xdr:from>
        <xdr:to>
          <xdr:col>5</xdr:col>
          <xdr:colOff>0</xdr:colOff>
          <xdr:row>12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19</xdr:row>
          <xdr:rowOff>0</xdr:rowOff>
        </xdr:from>
        <xdr:to>
          <xdr:col>5</xdr:col>
          <xdr:colOff>9525</xdr:colOff>
          <xdr:row>20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12</xdr:row>
          <xdr:rowOff>95250</xdr:rowOff>
        </xdr:from>
        <xdr:to>
          <xdr:col>8</xdr:col>
          <xdr:colOff>571500</xdr:colOff>
          <xdr:row>15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Tech Rec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16</xdr:row>
          <xdr:rowOff>190500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Evap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0</xdr:rowOff>
        </xdr:from>
        <xdr:to>
          <xdr:col>1</xdr:col>
          <xdr:colOff>1152525</xdr:colOff>
          <xdr:row>18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Evap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85725</xdr:rowOff>
        </xdr:from>
        <xdr:to>
          <xdr:col>1</xdr:col>
          <xdr:colOff>1152525</xdr:colOff>
          <xdr:row>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Calc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18</xdr:row>
          <xdr:rowOff>190500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Filt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14</xdr:row>
          <xdr:rowOff>9525</xdr:rowOff>
        </xdr:from>
        <xdr:to>
          <xdr:col>7</xdr:col>
          <xdr:colOff>9525</xdr:colOff>
          <xdr:row>15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Precip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11</xdr:row>
          <xdr:rowOff>0</xdr:rowOff>
        </xdr:from>
        <xdr:to>
          <xdr:col>7</xdr:col>
          <xdr:colOff>9525</xdr:colOff>
          <xdr:row>12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Clar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0</xdr:rowOff>
        </xdr:from>
        <xdr:to>
          <xdr:col>6</xdr:col>
          <xdr:colOff>752475</xdr:colOff>
          <xdr:row>9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Cold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5</xdr:row>
          <xdr:rowOff>9525</xdr:rowOff>
        </xdr:from>
        <xdr:to>
          <xdr:col>6</xdr:col>
          <xdr:colOff>742950</xdr:colOff>
          <xdr:row>6</xdr:row>
          <xdr:rowOff>28575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Hot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21</xdr:row>
          <xdr:rowOff>0</xdr:rowOff>
        </xdr:from>
        <xdr:to>
          <xdr:col>4</xdr:col>
          <xdr:colOff>752475</xdr:colOff>
          <xdr:row>22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23</xdr:row>
          <xdr:rowOff>0</xdr:rowOff>
        </xdr:from>
        <xdr:to>
          <xdr:col>4</xdr:col>
          <xdr:colOff>752475</xdr:colOff>
          <xdr:row>24</xdr:row>
          <xdr:rowOff>9525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21</xdr:row>
          <xdr:rowOff>0</xdr:rowOff>
        </xdr:from>
        <xdr:to>
          <xdr:col>7</xdr:col>
          <xdr:colOff>9525</xdr:colOff>
          <xdr:row>22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Digestion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23</xdr:row>
          <xdr:rowOff>0</xdr:rowOff>
        </xdr:from>
        <xdr:to>
          <xdr:col>7</xdr:col>
          <xdr:colOff>0</xdr:colOff>
          <xdr:row>24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Caustic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25</xdr:row>
          <xdr:rowOff>0</xdr:rowOff>
        </xdr:from>
        <xdr:to>
          <xdr:col>7</xdr:col>
          <xdr:colOff>0</xdr:colOff>
          <xdr:row>26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Shift Rpt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27</xdr:row>
          <xdr:rowOff>0</xdr:rowOff>
        </xdr:from>
        <xdr:to>
          <xdr:col>7</xdr:col>
          <xdr:colOff>276225</xdr:colOff>
          <xdr:row>28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Evap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152400</xdr:rowOff>
        </xdr:from>
        <xdr:to>
          <xdr:col>8</xdr:col>
          <xdr:colOff>581025</xdr:colOff>
          <xdr:row>25</xdr:row>
          <xdr:rowOff>180975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Patricia's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123825</xdr:rowOff>
        </xdr:from>
        <xdr:to>
          <xdr:col>11</xdr:col>
          <xdr:colOff>266700</xdr:colOff>
          <xdr:row>10</xdr:row>
          <xdr:rowOff>85725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Verify All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23</xdr:row>
          <xdr:rowOff>0</xdr:rowOff>
        </xdr:from>
        <xdr:to>
          <xdr:col>11</xdr:col>
          <xdr:colOff>171450</xdr:colOff>
          <xdr:row>25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9525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38100</xdr:rowOff>
        </xdr:from>
        <xdr:to>
          <xdr:col>5</xdr:col>
          <xdr:colOff>0</xdr:colOff>
          <xdr:row>7</xdr:row>
          <xdr:rowOff>38100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1504950</xdr:colOff>
          <xdr:row>9</xdr:row>
          <xdr:rowOff>38100</xdr:rowOff>
        </xdr:from>
        <xdr:to>
          <xdr:col>4</xdr:col>
          <xdr:colOff>742950</xdr:colOff>
          <xdr:row>10</xdr:row>
          <xdr:rowOff>38100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35</xdr:row>
          <xdr:rowOff>0</xdr:rowOff>
        </xdr:from>
        <xdr:to>
          <xdr:col>9</xdr:col>
          <xdr:colOff>171450</xdr:colOff>
          <xdr:row>37</xdr:row>
          <xdr:rowOff>171450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Precip Tank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376</xdr:row>
          <xdr:rowOff>28575</xdr:rowOff>
        </xdr:from>
        <xdr:to>
          <xdr:col>11</xdr:col>
          <xdr:colOff>695325</xdr:colOff>
          <xdr:row>379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Clar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180975</xdr:rowOff>
        </xdr:from>
        <xdr:to>
          <xdr:col>7</xdr:col>
          <xdr:colOff>228600</xdr:colOff>
          <xdr:row>5</xdr:row>
          <xdr:rowOff>57150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Production 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LabSec3_11" growShrinkType="overwriteClear" adjustColumnWidth="0" connectionId="19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2.xml><?xml version="1.0" encoding="utf-8"?>
<queryTable xmlns="http://schemas.openxmlformats.org/spreadsheetml/2006/main" name="LabSec3_2" growShrinkType="overwriteClear" adjustColumnWidth="0" connectionId="6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3.xml><?xml version="1.0" encoding="utf-8"?>
<queryTable xmlns="http://schemas.openxmlformats.org/spreadsheetml/2006/main" name="Query from cetec_1" growShrinkType="overwriteClear" adjustColumnWidth="0" connectionId="9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4.xml><?xml version="1.0" encoding="utf-8"?>
<queryTable xmlns="http://schemas.openxmlformats.org/spreadsheetml/2006/main" name="LabSec3_13" growShrinkType="overwriteClear" adjustColumnWidth="0" connectionId="13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5.xml><?xml version="1.0" encoding="utf-8"?>
<queryTable xmlns="http://schemas.openxmlformats.org/spreadsheetml/2006/main" name="LabSec3_9" growShrinkType="overwriteClear" adjustColumnWidth="0" connectionId="21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6.xml><?xml version="1.0" encoding="utf-8"?>
<queryTable xmlns="http://schemas.openxmlformats.org/spreadsheetml/2006/main" name="LabSec3_14" growShrinkType="overwriteClear" adjustColumnWidth="0" connectionId="2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7.xml><?xml version="1.0" encoding="utf-8"?>
<queryTable xmlns="http://schemas.openxmlformats.org/spreadsheetml/2006/main" name="LabSec3" growShrinkType="overwriteClear" adjustColumnWidth="0" connectionId="8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8.xml><?xml version="1.0" encoding="utf-8"?>
<queryTable xmlns="http://schemas.openxmlformats.org/spreadsheetml/2006/main" name="LabSec3_1" growShrinkType="overwriteClear" adjustColumnWidth="0" connectionId="7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9.xml><?xml version="1.0" encoding="utf-8"?>
<queryTable xmlns="http://schemas.openxmlformats.org/spreadsheetml/2006/main" name="LabSec3_10" growShrinkType="overwriteClear" adjustColumnWidth="0" connectionId="20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10.xml><?xml version="1.0" encoding="utf-8"?>
<queryTable xmlns="http://schemas.openxmlformats.org/spreadsheetml/2006/main" name="DailyAnalysisAlumina" growShrinkType="overwriteClear" adjustColumnWidth="0" connectionId="15" autoFormatId="16" applyNumberFormats="0" applyBorderFormats="0" applyFontFormats="1" applyPatternFormats="1" applyAlignmentFormats="0" applyWidthHeightFormats="0">
  <queryTableRefresh nextId="14">
    <queryTableFields count="13">
      <queryTableField id="1" name="DADATE"/>
      <queryTableField id="2" name="PRODUCT"/>
      <queryTableField id="3" name="LOI"/>
      <queryTableField id="4" name="P100"/>
      <queryTableField id="5" name="P200"/>
      <queryTableField id="6" name="P325"/>
      <queryTableField id="7" name="BULKDENS"/>
      <queryTableField id="8" name="SI"/>
      <queryTableField id="9" name="FE"/>
      <queryTableField id="10" name="NA"/>
      <queryTableField id="11" name="ZN"/>
      <queryTableField id="12" name="MN"/>
      <queryTableField id="13" name="CA"/>
    </queryTableFields>
  </queryTableRefresh>
</queryTable>
</file>

<file path=xl/queryTables/queryTable11.xml><?xml version="1.0" encoding="utf-8"?>
<queryTable xmlns="http://schemas.openxmlformats.org/spreadsheetml/2006/main" name="DailyAnalysisHydrate" growShrinkType="overwriteClear" adjustColumnWidth="0" connectionId="14" autoFormatId="16" applyNumberFormats="0" applyBorderFormats="0" applyFontFormats="1" applyPatternFormats="1" applyAlignmentFormats="0" applyWidthHeightFormats="0">
  <queryTableRefresh nextId="24">
    <queryTableFields count="11">
      <queryTableField id="1" name="DADATE"/>
      <queryTableField id="2" name="PRODUCT"/>
      <queryTableField id="3" name="P100"/>
      <queryTableField id="4" name="P200"/>
      <queryTableField id="5" name="P325"/>
      <queryTableField id="6" name="SI"/>
      <queryTableField id="7" name="FE"/>
      <queryTableField id="8" name="NA"/>
      <queryTableField id="9" name="ZN"/>
      <queryTableField id="10" name="MN"/>
      <queryTableField id="11" name="CA"/>
    </queryTableFields>
  </queryTableRefresh>
</queryTable>
</file>

<file path=xl/queryTables/queryTable12.xml><?xml version="1.0" encoding="utf-8"?>
<queryTable xmlns="http://schemas.openxmlformats.org/spreadsheetml/2006/main" name="LabSec3_3" growShrinkType="overwriteClear" adjustColumnWidth="0" connectionId="5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13.xml><?xml version="1.0" encoding="utf-8"?>
<queryTable xmlns="http://schemas.openxmlformats.org/spreadsheetml/2006/main" name="LabSec3_7" growShrinkType="overwriteClear" adjustColumnWidth="0" connectionId="23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14.xml><?xml version="1.0" encoding="utf-8"?>
<queryTable xmlns="http://schemas.openxmlformats.org/spreadsheetml/2006/main" name="LabSec3_12" growShrinkType="overwriteClear" adjustColumnWidth="0" connectionId="18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15.xml><?xml version="1.0" encoding="utf-8"?>
<queryTable xmlns="http://schemas.openxmlformats.org/spreadsheetml/2006/main" name="LabSec3_5" growShrinkType="overwriteClear" adjustColumnWidth="0" connectionId="3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16.xml><?xml version="1.0" encoding="utf-8"?>
<queryTable xmlns="http://schemas.openxmlformats.org/spreadsheetml/2006/main" name="LabHydrateAnalysis" growShrinkType="overwriteClear" adjustColumnWidth="0" connectionId="12" autoFormatId="16" applyNumberFormats="0" applyBorderFormats="0" applyFontFormats="1" applyPatternFormats="1" applyAlignmentFormats="0" applyWidthHeightFormats="0">
  <queryTableRefresh nextId="7">
    <queryTableFields count="5">
      <queryTableField id="1" name="SADATE"/>
      <queryTableField id="2" name="HA_TYPE"/>
      <queryTableField id="3" name="CONTAINERID"/>
      <queryTableField id="4" name="REFLECTANCE"/>
      <queryTableField id="5" name="LEACHSODA"/>
    </queryTableFields>
  </queryTableRefresh>
</queryTable>
</file>

<file path=xl/queryTables/queryTable17.xml><?xml version="1.0" encoding="utf-8"?>
<queryTable xmlns="http://schemas.openxmlformats.org/spreadsheetml/2006/main" name="ChargeControl" growShrinkType="overwriteClear" adjustColumnWidth="0" connectionId="16" autoFormatId="16" applyNumberFormats="0" applyBorderFormats="0" applyFontFormats="1" applyPatternFormats="1" applyAlignmentFormats="0" applyWidthHeightFormats="0">
  <queryTableRefresh nextId="75">
    <queryTableFields count="42">
      <queryTableField id="1" name="CCDATE"/>
      <queryTableField id="2" name="CCROUND"/>
      <queryTableField id="44" name="PLANTCS"/>
      <queryTableField id="4" name="TESTTANKCAUSTIC"/>
      <queryTableField id="5" name="TESTTANKAC"/>
      <queryTableField id="6" name="SETTLERFEEDCAUSTIC"/>
      <queryTableField id="7" name="SETTLERFEEDAC"/>
      <queryTableField id="8" name="PRESSFEEDCAUSTIC"/>
      <queryTableField id="9" name="PRESSFEEDAC"/>
      <queryTableField id="10" name="LTPCAUSTIC"/>
      <queryTableField id="11" name="LTPAC"/>
      <queryTableField id="12" name="EVAPFEEDCAUSTIC"/>
      <queryTableField id="13" name="EVAPFEEDAC"/>
      <queryTableField id="14" name="A7OVERFLOWCAUSTIC"/>
      <queryTableField id="15" name="A7OVERFLOWAC"/>
      <queryTableField id="16" name="B7OVERFLOWCAUSTIC"/>
      <queryTableField id="17" name="B7OVERFLOWAC"/>
      <queryTableField id="18" name="T1CAUSTIC"/>
      <queryTableField id="19" name="T1AC"/>
      <queryTableField id="20" name="T7CAUSTIC"/>
      <queryTableField id="21" name="T7AC"/>
      <queryTableField id="22" name="WOFCAUSTIC"/>
      <queryTableField id="23" name="WOFAC"/>
      <queryTableField id="24" name="SUFCAUSTIC"/>
      <queryTableField id="25" name="SUFAC"/>
      <queryTableField id="26" name="WUFSODA"/>
      <queryTableField id="27" name="MTLSODA"/>
      <queryTableField id="28" name="SRTSODA"/>
      <queryTableField id="29" name="PFMG"/>
      <queryTableField id="30" name="LTPAIM"/>
      <queryTableField id="31" name="CDIGDISCH"/>
      <queryTableField id="32" name="CEVAPDISCH"/>
      <queryTableField id="33" name="ACDIGDISCH"/>
      <queryTableField id="34" name="ACEVAPDISCH"/>
      <queryTableField id="35" name="CY15OVERFLOW"/>
      <queryTableField id="36" name="ACY15OVERFLOW"/>
      <queryTableField id="37" name="CY16OVERFLOW"/>
      <queryTableField id="38" name="ACY16OVERFLOW"/>
      <queryTableField id="39" name="CAG1"/>
      <queryTableField id="40" name="CAG7"/>
      <queryTableField id="41" name="ACAG1"/>
      <queryTableField id="42" name="ACAG7"/>
    </queryTableFields>
  </queryTableRefresh>
</queryTable>
</file>

<file path=xl/queryTables/queryTable18.xml><?xml version="1.0" encoding="utf-8"?>
<queryTable xmlns="http://schemas.openxmlformats.org/spreadsheetml/2006/main" name="LabKilnDryer" growShrinkType="overwriteClear" adjustColumnWidth="0" connectionId="11" autoFormatId="16" applyNumberFormats="0" applyBorderFormats="0" applyFontFormats="1" applyPatternFormats="1" applyAlignmentFormats="0" applyWidthHeightFormats="0">
  <queryTableRefresh nextId="72">
    <queryTableFields count="36">
      <queryTableField id="1" name="KDDATE"/>
      <queryTableField id="2" name="CPNZN"/>
      <queryTableField id="3" name="CPSZN"/>
      <queryTableField id="4" name="KFLS0600_1"/>
      <queryTableField id="5" name="KFLS0600_2"/>
      <queryTableField id="37" name="KFLS0600_3"/>
      <queryTableField id="38" name="KFLS1800_1"/>
      <queryTableField id="39" name="KFLS1800_2"/>
      <queryTableField id="40" name="KFLS1800_3"/>
      <queryTableField id="41" name="KDLOI2200_1"/>
      <queryTableField id="42" name="KDLOI2200_2"/>
      <queryTableField id="43" name="KDLOI2200_3"/>
      <queryTableField id="44" name="KDLOI1000_1"/>
      <queryTableField id="45" name="KDLOI1000_2"/>
      <queryTableField id="46" name="KDLOI1000_3"/>
      <queryTableField id="47" name="KDNA2200_1"/>
      <queryTableField id="48" name="KDNA2200_2"/>
      <queryTableField id="49" name="KDNA2200_3"/>
      <queryTableField id="50" name="KDNA1000_1"/>
      <queryTableField id="51" name="KDNA1000_2"/>
      <queryTableField id="52" name="KDNA1000_3"/>
      <queryTableField id="53" name="KDCA2200_1"/>
      <queryTableField id="54" name="KDCA2200_2"/>
      <queryTableField id="55" name="KDCA2200_3"/>
      <queryTableField id="56" name="KDCA1000_1"/>
      <queryTableField id="57" name="KDCA1000_2"/>
      <queryTableField id="58" name="KDCA1000_3"/>
      <queryTableField id="59" name="KDZN2200_1"/>
      <queryTableField id="60" name="KDZN2200_2"/>
      <queryTableField id="61" name="KDZN2200_3"/>
      <queryTableField id="62" name="KDZN1000_1"/>
      <queryTableField id="63" name="KDZN1000_2"/>
      <queryTableField id="64" name="KDZN1000_3"/>
      <queryTableField id="68" name="KFM"/>
      <queryTableField id="69" name="KFM2"/>
      <queryTableField id="70" name="KFM3"/>
    </queryTableFields>
  </queryTableRefresh>
</queryTable>
</file>

<file path=xl/queryTables/queryTable19.xml><?xml version="1.0" encoding="utf-8"?>
<queryTable xmlns="http://schemas.openxmlformats.org/spreadsheetml/2006/main" name="Query from db0app" connectionId="17" autoFormatId="16" applyNumberFormats="0" applyBorderFormats="0" applyFontFormats="1" applyPatternFormats="1" applyAlignmentFormats="0" applyWidthHeightFormats="0">
  <queryTableRefresh nextId="3">
    <queryTableFields count="1">
      <queryTableField id="1" name="CSEDS"/>
    </queryTableFields>
  </queryTableRefresh>
</queryTable>
</file>

<file path=xl/queryTables/queryTable20.xml><?xml version="1.0" encoding="utf-8"?>
<queryTable xmlns="http://schemas.openxmlformats.org/spreadsheetml/2006/main" name="Query from cetec" growShrinkType="overwriteClear" adjustColumnWidth="0" connectionId="10" autoFormatId="16" applyNumberFormats="0" applyBorderFormats="0" applyFontFormats="1" applyPatternFormats="1" applyAlignmentFormats="0" applyWidthHeightFormats="0">
  <queryTableRefresh nextId="27">
    <queryTableFields count="24">
      <queryTableField id="1" name="SDDATE"/>
      <queryTableField id="2" name="SASUF"/>
      <queryTableField id="3" name="SAWUF"/>
      <queryTableField id="4" name="SAMTL"/>
      <queryTableField id="5" name="SAFA"/>
      <queryTableField id="6" name="SABF"/>
      <queryTableField id="25" name="SAOXSET"/>
      <queryTableField id="8" name="SALP"/>
      <queryTableField id="9" name="OABF"/>
      <queryTableField id="10" name="OA1CAKE"/>
      <queryTableField id="11" name="OA2CAKE"/>
      <queryTableField id="12" name="OASTSEED"/>
      <queryTableField id="13" name="SRPF"/>
      <queryTableField id="14" name="SRS"/>
      <queryTableField id="15" name="TAAA4FT"/>
      <queryTableField id="16" name="TAAAMTL"/>
      <queryTableField id="17" name="TAAASF"/>
      <queryTableField id="18" name="TAAASUF"/>
      <queryTableField id="19" name="TAAAWUF"/>
      <queryTableField id="20" name="FT5"/>
      <queryTableField id="21" name="GPLS1"/>
      <queryTableField id="22" name="GPLS2"/>
      <queryTableField id="23" name="GPLS3"/>
      <queryTableField id="24" name="GPLS4"/>
    </queryTableFields>
  </queryTableRefresh>
</queryTable>
</file>

<file path=xl/queryTables/queryTable21.xml><?xml version="1.0" encoding="utf-8"?>
<queryTable xmlns="http://schemas.openxmlformats.org/spreadsheetml/2006/main" name="LabSec3_6" growShrinkType="overwriteClear" adjustColumnWidth="0" connectionId="24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22.xml><?xml version="1.0" encoding="utf-8"?>
<queryTable xmlns="http://schemas.openxmlformats.org/spreadsheetml/2006/main" name="LabSec3_4" growShrinkType="overwriteClear" adjustColumnWidth="0" connectionId="4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23.xml><?xml version="1.0" encoding="utf-8"?>
<queryTable xmlns="http://schemas.openxmlformats.org/spreadsheetml/2006/main" name="LabSec3_8" growShrinkType="overwriteClear" adjustColumnWidth="0" connectionId="22" autoFormatId="16" applyNumberFormats="0" applyBorderFormats="0" applyFontFormats="1" applyPatternFormats="1" applyAlignmentFormats="0" applyWidthHeightFormats="0">
  <queryTableRefresh nextId="12">
    <queryTableFields count="11">
      <queryTableField id="1" name="SECDATE"/>
      <queryTableField id="2" name="SECRECORD"/>
      <queryTableField id="3" name="SECID"/>
      <queryTableField id="4" name="P100"/>
      <queryTableField id="5" name="P200"/>
      <queryTableField id="6" name="P325"/>
      <queryTableField id="7" name="AC"/>
      <queryTableField id="8" name="20uM"/>
      <queryTableField id="9" name="CAUS"/>
      <queryTableField id="10" name="GPLSOL"/>
      <queryTableField id="11" name="SA"/>
    </queryTableFields>
  </queryTableRefresh>
</queryTable>
</file>

<file path=xl/queryTables/queryTable24.xml><?xml version="1.0" encoding="utf-8"?>
<queryTable xmlns="http://schemas.openxmlformats.org/spreadsheetml/2006/main" name="Environmental_1" growShrinkType="overwriteClear" adjustColumnWidth="0" connectionId="1" autoFormatId="16" applyNumberFormats="0" applyBorderFormats="0" applyFontFormats="1" applyPatternFormats="1" applyAlignmentFormats="0" applyWidthHeightFormats="0">
  <queryTableRefresh nextId="8">
    <queryTableFields count="7">
      <queryTableField id="1" name="EADATE"/>
      <queryTableField id="2" name="SAHOTWELL"/>
      <queryTableField id="3" name="SAPLANTDRAIN"/>
      <queryTableField id="4" name="SCATESTTANK"/>
      <queryTableField id="5" name="SCALTP"/>
      <queryTableField id="6" name="FAWASHER"/>
      <queryTableField id="7" name="FAMIDDL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G41"/>
  <sheetViews>
    <sheetView zoomScale="80" workbookViewId="0">
      <selection activeCell="C4" sqref="C4"/>
    </sheetView>
  </sheetViews>
  <sheetFormatPr defaultRowHeight="12.75" x14ac:dyDescent="0.2"/>
  <cols>
    <col min="1" max="1" width="5" customWidth="1"/>
    <col min="2" max="2" width="18.5703125" bestFit="1" customWidth="1"/>
    <col min="3" max="3" width="78.28515625" customWidth="1"/>
    <col min="4" max="4" width="18.28515625" customWidth="1"/>
    <col min="7" max="7" width="10.85546875" bestFit="1" customWidth="1"/>
  </cols>
  <sheetData>
    <row r="1" spans="1:7" x14ac:dyDescent="0.2">
      <c r="F1" t="s">
        <v>21</v>
      </c>
      <c r="G1" s="12">
        <v>43318</v>
      </c>
    </row>
    <row r="2" spans="1:7" ht="13.5" thickBot="1" x14ac:dyDescent="0.25">
      <c r="B2" s="67" t="s">
        <v>2100</v>
      </c>
      <c r="C2" s="66" t="s">
        <v>2108</v>
      </c>
      <c r="D2" s="66"/>
    </row>
    <row r="4" spans="1:7" x14ac:dyDescent="0.2">
      <c r="A4" s="68"/>
      <c r="B4" s="69" t="s">
        <v>2094</v>
      </c>
      <c r="C4" s="68" t="s">
        <v>2106</v>
      </c>
      <c r="D4" s="68" t="s">
        <v>2104</v>
      </c>
      <c r="E4" s="68"/>
      <c r="F4" s="68"/>
      <c r="G4" s="68"/>
    </row>
    <row r="5" spans="1:7" x14ac:dyDescent="0.2">
      <c r="B5" s="2" t="s">
        <v>2095</v>
      </c>
    </row>
    <row r="6" spans="1:7" x14ac:dyDescent="0.2">
      <c r="B6" s="1" t="s">
        <v>2101</v>
      </c>
      <c r="C6" s="58"/>
      <c r="D6" s="13" t="s">
        <v>2354</v>
      </c>
    </row>
    <row r="7" spans="1:7" x14ac:dyDescent="0.2">
      <c r="B7" s="1" t="s">
        <v>2102</v>
      </c>
      <c r="C7" s="58"/>
      <c r="D7" s="13" t="s">
        <v>2354</v>
      </c>
    </row>
    <row r="8" spans="1:7" x14ac:dyDescent="0.2">
      <c r="B8" s="2" t="s">
        <v>2096</v>
      </c>
    </row>
    <row r="9" spans="1:7" x14ac:dyDescent="0.2">
      <c r="B9" s="1" t="s">
        <v>2101</v>
      </c>
      <c r="C9" s="58"/>
      <c r="D9" s="13" t="s">
        <v>2354</v>
      </c>
    </row>
    <row r="10" spans="1:7" x14ac:dyDescent="0.2">
      <c r="B10" s="1" t="s">
        <v>2102</v>
      </c>
      <c r="C10" s="58"/>
      <c r="D10" s="13" t="s">
        <v>2354</v>
      </c>
    </row>
    <row r="11" spans="1:7" x14ac:dyDescent="0.2">
      <c r="B11" s="2" t="s">
        <v>2098</v>
      </c>
      <c r="C11" s="141"/>
    </row>
    <row r="12" spans="1:7" x14ac:dyDescent="0.2">
      <c r="B12" s="1"/>
      <c r="C12" s="142"/>
      <c r="D12" s="13" t="s">
        <v>2354</v>
      </c>
    </row>
    <row r="13" spans="1:7" x14ac:dyDescent="0.2">
      <c r="B13" s="1"/>
    </row>
    <row r="14" spans="1:7" x14ac:dyDescent="0.2">
      <c r="B14" s="2" t="s">
        <v>2099</v>
      </c>
    </row>
    <row r="15" spans="1:7" x14ac:dyDescent="0.2">
      <c r="B15" s="1" t="s">
        <v>2101</v>
      </c>
      <c r="C15" s="58"/>
      <c r="D15" s="13" t="s">
        <v>2354</v>
      </c>
    </row>
    <row r="16" spans="1:7" x14ac:dyDescent="0.2">
      <c r="B16" s="1" t="s">
        <v>2102</v>
      </c>
      <c r="C16" s="58"/>
      <c r="D16" s="13" t="s">
        <v>2354</v>
      </c>
    </row>
    <row r="17" spans="2:4" x14ac:dyDescent="0.2">
      <c r="B17" s="2" t="s">
        <v>2103</v>
      </c>
    </row>
    <row r="18" spans="2:4" x14ac:dyDescent="0.2">
      <c r="D18" s="13" t="s">
        <v>2354</v>
      </c>
    </row>
    <row r="19" spans="2:4" x14ac:dyDescent="0.2">
      <c r="B19" s="2" t="s">
        <v>2097</v>
      </c>
    </row>
    <row r="20" spans="2:4" x14ac:dyDescent="0.2">
      <c r="C20" s="58"/>
      <c r="D20" s="13" t="s">
        <v>2354</v>
      </c>
    </row>
    <row r="21" spans="2:4" x14ac:dyDescent="0.2">
      <c r="B21" s="2" t="s">
        <v>2094</v>
      </c>
    </row>
    <row r="22" spans="2:4" x14ac:dyDescent="0.2">
      <c r="D22" s="13" t="s">
        <v>2354</v>
      </c>
    </row>
    <row r="23" spans="2:4" x14ac:dyDescent="0.2">
      <c r="B23" s="2" t="s">
        <v>22</v>
      </c>
    </row>
    <row r="24" spans="2:4" x14ac:dyDescent="0.2">
      <c r="C24" s="58"/>
      <c r="D24" s="13" t="s">
        <v>2354</v>
      </c>
    </row>
    <row r="25" spans="2:4" x14ac:dyDescent="0.2">
      <c r="B25" s="2" t="s">
        <v>23</v>
      </c>
    </row>
    <row r="26" spans="2:4" x14ac:dyDescent="0.2">
      <c r="C26" s="58" t="s">
        <v>2353</v>
      </c>
      <c r="D26" s="27"/>
    </row>
    <row r="27" spans="2:4" x14ac:dyDescent="0.2">
      <c r="B27" s="2" t="s">
        <v>24</v>
      </c>
    </row>
    <row r="28" spans="2:4" x14ac:dyDescent="0.2">
      <c r="D28" s="13" t="s">
        <v>2354</v>
      </c>
    </row>
    <row r="32" spans="2:4" ht="15" x14ac:dyDescent="0.25">
      <c r="C32" s="145"/>
    </row>
    <row r="37" spans="2:4" x14ac:dyDescent="0.2">
      <c r="B37" s="2" t="s">
        <v>2105</v>
      </c>
      <c r="C37" t="s">
        <v>2107</v>
      </c>
    </row>
    <row r="41" spans="2:4" x14ac:dyDescent="0.2">
      <c r="D41" s="12"/>
    </row>
  </sheetData>
  <phoneticPr fontId="0" type="noConversion"/>
  <printOptions headings="1" gridLines="1"/>
  <pageMargins left="0.75" right="0.75" top="1" bottom="1" header="0.5" footer="0.5"/>
  <pageSetup scale="8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utoSelectFiles">
                <anchor moveWithCells="1" sizeWithCells="1">
                  <from>
                    <xdr:col>7</xdr:col>
                    <xdr:colOff>361950</xdr:colOff>
                    <xdr:row>7</xdr:row>
                    <xdr:rowOff>104775</xdr:rowOff>
                  </from>
                  <to>
                    <xdr:col>8</xdr:col>
                    <xdr:colOff>619125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electClarFile">
                <anchor moveWithCells="1" siz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electEvapFile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electFiltFile">
                <anchor moveWithCells="1" sizeWithCells="1">
                  <from>
                    <xdr:col>4</xdr:col>
                    <xdr:colOff>9525</xdr:colOff>
                    <xdr:row>19</xdr:row>
                    <xdr:rowOff>0</xdr:rowOff>
                  </from>
                  <to>
                    <xdr:col>5</xdr:col>
                    <xdr:colOff>9525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OpenDig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PrintFiles">
                <anchor moveWithCells="1" sizeWithCells="1">
                  <from>
                    <xdr:col>7</xdr:col>
                    <xdr:colOff>390525</xdr:colOff>
                    <xdr:row>12</xdr:row>
                    <xdr:rowOff>95250</xdr:rowOff>
                  </from>
                  <to>
                    <xdr:col>8</xdr:col>
                    <xdr:colOff>571500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rintEvap">
                <anchor moveWithCells="1" sizeWithCells="1">
                  <from>
                    <xdr:col>5</xdr:col>
                    <xdr:colOff>419100</xdr:colOff>
                    <xdr:row>16</xdr:row>
                    <xdr:rowOff>190500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GetEvapData">
                <anchor moveWithCells="1" sizeWithCells="1">
                  <from>
                    <xdr:col>1</xdr:col>
                    <xdr:colOff>9525</xdr:colOff>
                    <xdr:row>17</xdr:row>
                    <xdr:rowOff>0</xdr:rowOff>
                  </from>
                  <to>
                    <xdr:col>1</xdr:col>
                    <xdr:colOff>1152525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utton 17">
              <controlPr defaultSize="0" print="0" autoFill="0" autoPict="0" macro="[0]!GetCalcData">
                <anchor moveWithCells="1" sizeWithCells="1">
                  <from>
                    <xdr:col>1</xdr:col>
                    <xdr:colOff>9525</xdr:colOff>
                    <xdr:row>5</xdr:row>
                    <xdr:rowOff>85725</xdr:rowOff>
                  </from>
                  <to>
                    <xdr:col>1</xdr:col>
                    <xdr:colOff>1152525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Button 18">
              <controlPr defaultSize="0" print="0" autoFill="0" autoPict="0" macro="[0]!PrintFilt">
                <anchor moveWithCells="1" sizeWithCells="1">
                  <from>
                    <xdr:col>5</xdr:col>
                    <xdr:colOff>419100</xdr:colOff>
                    <xdr:row>18</xdr:row>
                    <xdr:rowOff>190500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PrintPrecip">
                <anchor moveWithCells="1" sizeWithCells="1">
                  <from>
                    <xdr:col>5</xdr:col>
                    <xdr:colOff>428625</xdr:colOff>
                    <xdr:row>14</xdr:row>
                    <xdr:rowOff>9525</xdr:rowOff>
                  </from>
                  <to>
                    <xdr:col>7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PrintClar">
                <anchor moveWithCells="1" sizeWithCells="1">
                  <from>
                    <xdr:col>5</xdr:col>
                    <xdr:colOff>428625</xdr:colOff>
                    <xdr:row>11</xdr:row>
                    <xdr:rowOff>0</xdr:rowOff>
                  </from>
                  <to>
                    <xdr:col>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PrintCalcCold">
                <anchor moveWithCells="1" sizeWithCells="1">
                  <from>
                    <xdr:col>5</xdr:col>
                    <xdr:colOff>409575</xdr:colOff>
                    <xdr:row>8</xdr:row>
                    <xdr:rowOff>0</xdr:rowOff>
                  </from>
                  <to>
                    <xdr:col>6</xdr:col>
                    <xdr:colOff>752475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PrintCalcHot">
                <anchor moveWithCells="1" sizeWithCells="1">
                  <from>
                    <xdr:col>5</xdr:col>
                    <xdr:colOff>390525</xdr:colOff>
                    <xdr:row>5</xdr:row>
                    <xdr:rowOff>9525</xdr:rowOff>
                  </from>
                  <to>
                    <xdr:col>6</xdr:col>
                    <xdr:colOff>742950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Button 24">
              <controlPr defaultSize="0" print="0" autoFill="0" autoPict="0" macro="[0]!SelectDigFile">
                <anchor moveWithCells="1" sizeWithCells="1">
                  <from>
                    <xdr:col>3</xdr:col>
                    <xdr:colOff>1514475</xdr:colOff>
                    <xdr:row>21</xdr:row>
                    <xdr:rowOff>0</xdr:rowOff>
                  </from>
                  <to>
                    <xdr:col>4</xdr:col>
                    <xdr:colOff>752475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Button 25">
              <controlPr defaultSize="0" print="0" autoFill="0" autoPict="0" macro="[0]!SelectCausticFile">
                <anchor moveWithCells="1" sizeWithCells="1">
                  <from>
                    <xdr:col>3</xdr:col>
                    <xdr:colOff>1514475</xdr:colOff>
                    <xdr:row>23</xdr:row>
                    <xdr:rowOff>0</xdr:rowOff>
                  </from>
                  <to>
                    <xdr:col>4</xdr:col>
                    <xdr:colOff>752475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Button 26">
              <controlPr defaultSize="0" print="0" autoFill="0" autoPict="0" macro="[0]!SelectShiftFile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Button 27">
              <controlPr defaultSize="0" print="0" autoFill="0" autoPict="0" macro="[0]!PrintDig">
                <anchor moveWithCells="1" sizeWithCells="1">
                  <from>
                    <xdr:col>5</xdr:col>
                    <xdr:colOff>428625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Button 28">
              <controlPr defaultSize="0" print="0" autoFill="0" autoPict="0" macro="[0]!PrintCaustic">
                <anchor moveWithCells="1" sizeWithCells="1">
                  <from>
                    <xdr:col>5</xdr:col>
                    <xdr:colOff>419100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Button 29">
              <controlPr defaultSize="0" print="0" autoFill="0" autoPict="0" macro="[0]!PrintShiftRpt">
                <anchor moveWithCells="1" sizeWithCells="1">
                  <from>
                    <xdr:col>5</xdr:col>
                    <xdr:colOff>419100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macro="[0]!SelectEvapTodayFile">
                <anchor moveWithCells="1" siz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5" name="Button 32">
              <controlPr defaultSize="0" print="0" autoFill="0" autoPict="0" macro="[0]!PrintEdEvap">
                <anchor moveWithCells="1" sizeWithCells="1">
                  <from>
                    <xdr:col>5</xdr:col>
                    <xdr:colOff>419100</xdr:colOff>
                    <xdr:row>27</xdr:row>
                    <xdr:rowOff>0</xdr:rowOff>
                  </from>
                  <to>
                    <xdr:col>7</xdr:col>
                    <xdr:colOff>276225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6" name="Button 33">
              <controlPr defaultSize="0" print="0" autoFill="0" autoPict="0" macro="[0]!PrintEdFiles">
                <anchor moveWithCells="1" sizeWithCells="1">
                  <from>
                    <xdr:col>7</xdr:col>
                    <xdr:colOff>409575</xdr:colOff>
                    <xdr:row>21</xdr:row>
                    <xdr:rowOff>152400</xdr:rowOff>
                  </from>
                  <to>
                    <xdr:col>8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 macro="[0]!VerifyFiles">
                <anchor moveWithCells="1" sizeWithCells="1">
                  <from>
                    <xdr:col>10</xdr:col>
                    <xdr:colOff>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8" name="Button 37">
              <controlPr defaultSize="0" print="0" autoFill="0" autoPict="0" macro="[0]!PrintALLfiles">
                <anchor moveWithCells="1" sizeWithCells="1">
                  <from>
                    <xdr:col>9</xdr:col>
                    <xdr:colOff>752475</xdr:colOff>
                    <xdr:row>23</xdr:row>
                    <xdr:rowOff>0</xdr:rowOff>
                  </from>
                  <to>
                    <xdr:col>11</xdr:col>
                    <xdr:colOff>171450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9" name="Button 38">
              <controlPr defaultSize="0" print="0" autoFill="0" autoPict="0" macro="[0]!SelectPrecipDayFile">
                <anchor moveWithCells="1" sizeWithCells="1">
                  <from>
                    <xdr:col>4</xdr:col>
                    <xdr:colOff>0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0" name="Button 39">
              <controlPr defaultSize="0" print="0" autoFill="0" autoPict="0" macro="[0]!SelectPrecipNiteFile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1" name="Button 40">
              <controlPr defaultSize="0" print="0" autoFill="0" autoPict="0" macro="[0]!SelectHotDayFile">
                <anchor moveWithCells="1" sizeWithCells="1">
                  <from>
                    <xdr:col>4</xdr:col>
                    <xdr:colOff>0</xdr:colOff>
                    <xdr:row>5</xdr:row>
                    <xdr:rowOff>9525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2" name="Button 41">
              <controlPr defaultSize="0" print="0" autoFill="0" autoPict="0" macro="[0]!SelectHotNiteFile">
                <anchor moveWithCells="1" sizeWithCells="1">
                  <from>
                    <xdr:col>4</xdr:col>
                    <xdr:colOff>0</xdr:colOff>
                    <xdr:row>6</xdr:row>
                    <xdr:rowOff>38100</xdr:rowOff>
                  </from>
                  <to>
                    <xdr:col>5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3" name="Button 42">
              <controlPr defaultSize="0" print="0" autoFill="0" autoPict="0" macro="[0]!SelectColdDayFile">
                <anchor moveWithCells="1" siz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4" name="Button 43">
              <controlPr defaultSize="0" print="0" autoFill="0" autoPict="0" macro="[0]!SelectColdNiteFile">
                <anchor moveWithCells="1" sizeWithCells="1">
                  <from>
                    <xdr:col>3</xdr:col>
                    <xdr:colOff>1504950</xdr:colOff>
                    <xdr:row>9</xdr:row>
                    <xdr:rowOff>38100</xdr:rowOff>
                  </from>
                  <to>
                    <xdr:col>4</xdr:col>
                    <xdr:colOff>742950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5" name="Button 44">
              <controlPr defaultSize="0" print="0" autoFill="0" autoPict="0" macro="[0]!GetPrecipTankData">
                <anchor moveWithCells="1" sizeWithCells="1">
                  <from>
                    <xdr:col>7</xdr:col>
                    <xdr:colOff>752475</xdr:colOff>
                    <xdr:row>35</xdr:row>
                    <xdr:rowOff>0</xdr:rowOff>
                  </from>
                  <to>
                    <xdr:col>9</xdr:col>
                    <xdr:colOff>171450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41"/>
  <sheetViews>
    <sheetView workbookViewId="0">
      <selection activeCell="D23" sqref="D23"/>
    </sheetView>
  </sheetViews>
  <sheetFormatPr defaultRowHeight="12.75" x14ac:dyDescent="0.2"/>
  <cols>
    <col min="1" max="1" width="27.42578125" bestFit="1" customWidth="1"/>
    <col min="4" max="4" width="27.28515625" bestFit="1" customWidth="1"/>
  </cols>
  <sheetData>
    <row r="1" spans="1:6" x14ac:dyDescent="0.2">
      <c r="A1" s="2" t="s">
        <v>2119</v>
      </c>
      <c r="D1" s="2" t="s">
        <v>2144</v>
      </c>
      <c r="E1" t="s">
        <v>2164</v>
      </c>
    </row>
    <row r="3" spans="1:6" x14ac:dyDescent="0.2">
      <c r="A3" t="s">
        <v>2120</v>
      </c>
      <c r="B3" s="3" t="e">
        <v>#DIV/0!</v>
      </c>
      <c r="C3" s="44">
        <f>Evap29!B31</f>
        <v>145.5178964412701</v>
      </c>
      <c r="D3" t="s">
        <v>2145</v>
      </c>
      <c r="E3" s="3">
        <v>5176.331906363298</v>
      </c>
      <c r="F3" s="44">
        <f>Evap31!B30</f>
        <v>4718.3911729810834</v>
      </c>
    </row>
    <row r="4" spans="1:6" x14ac:dyDescent="0.2">
      <c r="A4" t="s">
        <v>2121</v>
      </c>
      <c r="B4" s="4" t="e">
        <v>#DIV/0!</v>
      </c>
      <c r="C4" s="44">
        <f>Evap29!C31</f>
        <v>113.65157110437535</v>
      </c>
      <c r="D4" t="s">
        <v>2146</v>
      </c>
      <c r="E4" s="3">
        <v>177.00626393291165</v>
      </c>
      <c r="F4" s="44">
        <f>Evap31!C30</f>
        <v>179.61344086717671</v>
      </c>
    </row>
    <row r="5" spans="1:6" x14ac:dyDescent="0.2">
      <c r="A5" t="s">
        <v>2122</v>
      </c>
      <c r="B5" s="4">
        <v>160.03109763439619</v>
      </c>
      <c r="C5" s="44">
        <f>Evap29!D31</f>
        <v>160.62253526822505</v>
      </c>
      <c r="D5" t="s">
        <v>2147</v>
      </c>
      <c r="E5" s="3">
        <v>76.975753334106585</v>
      </c>
      <c r="F5" s="44">
        <f>Evap31!D30</f>
        <v>86.073574935249454</v>
      </c>
    </row>
    <row r="6" spans="1:6" x14ac:dyDescent="0.2">
      <c r="A6" t="s">
        <v>2123</v>
      </c>
      <c r="B6" s="4">
        <v>172.37109219372422</v>
      </c>
      <c r="C6" s="44">
        <f>Evap29!E31</f>
        <v>172.65022197875723</v>
      </c>
      <c r="D6" t="s">
        <v>2148</v>
      </c>
      <c r="E6" s="3">
        <v>2606.0906249999998</v>
      </c>
      <c r="F6" s="44">
        <f>Evap31!E30</f>
        <v>9214.2133246527774</v>
      </c>
    </row>
    <row r="7" spans="1:6" x14ac:dyDescent="0.2">
      <c r="A7" t="s">
        <v>2124</v>
      </c>
      <c r="B7" s="4">
        <v>185.09269074774826</v>
      </c>
      <c r="C7" s="44">
        <f>Evap29!F31</f>
        <v>185.55082679646887</v>
      </c>
      <c r="D7" t="s">
        <v>2149</v>
      </c>
      <c r="E7" s="3">
        <v>3514.8875959727889</v>
      </c>
      <c r="F7" s="44">
        <f>Evap31!F30</f>
        <v>3371.5567965196956</v>
      </c>
    </row>
    <row r="8" spans="1:6" x14ac:dyDescent="0.2">
      <c r="A8" t="s">
        <v>2125</v>
      </c>
      <c r="B8" s="3">
        <v>221.16851296258002</v>
      </c>
      <c r="C8" s="44">
        <f>Evap29!G31</f>
        <v>220.0514567841789</v>
      </c>
      <c r="D8" t="s">
        <v>2131</v>
      </c>
      <c r="E8" s="3">
        <v>248.59777497538678</v>
      </c>
      <c r="F8" s="44">
        <f>Evap31!G30</f>
        <v>1201.920168647322</v>
      </c>
    </row>
    <row r="9" spans="1:6" x14ac:dyDescent="0.2">
      <c r="A9" t="s">
        <v>2126</v>
      </c>
      <c r="B9" s="3">
        <v>208.1589419885581</v>
      </c>
      <c r="C9" s="44">
        <f>Evap29!H31</f>
        <v>207.02388880908174</v>
      </c>
      <c r="D9" t="s">
        <v>2150</v>
      </c>
      <c r="E9" s="3">
        <v>163.79209238135854</v>
      </c>
      <c r="F9" s="44">
        <f>Evap31!H30</f>
        <v>169.91287112545589</v>
      </c>
    </row>
    <row r="10" spans="1:6" x14ac:dyDescent="0.2">
      <c r="A10" t="s">
        <v>2127</v>
      </c>
      <c r="B10" s="3">
        <v>180.52689756107688</v>
      </c>
      <c r="C10" s="44">
        <f>Evap29!I31</f>
        <v>182.25676493237719</v>
      </c>
      <c r="D10" t="s">
        <v>2152</v>
      </c>
      <c r="E10" s="4">
        <v>245.48373288585975</v>
      </c>
      <c r="F10" s="44">
        <f>Evap31!I30</f>
        <v>248.555989201947</v>
      </c>
    </row>
    <row r="11" spans="1:6" x14ac:dyDescent="0.2">
      <c r="A11" t="s">
        <v>2128</v>
      </c>
      <c r="B11" s="3">
        <v>175.05132549370614</v>
      </c>
      <c r="C11" s="44">
        <f>Evap29!J31</f>
        <v>175.79782429055192</v>
      </c>
      <c r="D11" t="s">
        <v>2153</v>
      </c>
      <c r="E11" s="4">
        <v>262.64826305646881</v>
      </c>
      <c r="F11" s="44">
        <f>Evap31!J30</f>
        <v>265.14834010355884</v>
      </c>
    </row>
    <row r="12" spans="1:6" x14ac:dyDescent="0.2">
      <c r="A12" t="s">
        <v>2129</v>
      </c>
      <c r="B12" s="3">
        <v>171.66792960340592</v>
      </c>
      <c r="C12" s="44">
        <f>Evap29!K31</f>
        <v>169.25565850153805</v>
      </c>
      <c r="D12" t="s">
        <v>2151</v>
      </c>
      <c r="E12" s="4" t="e">
        <v>#DIV/0!</v>
      </c>
      <c r="F12" s="44">
        <f>Evap31!K30</f>
        <v>87.24016688259546</v>
      </c>
    </row>
    <row r="13" spans="1:6" x14ac:dyDescent="0.2">
      <c r="A13" t="s">
        <v>2130</v>
      </c>
      <c r="B13" s="3">
        <v>21.656605447354679</v>
      </c>
      <c r="C13" s="44">
        <f>Evap29!L31</f>
        <v>22.053051493024032</v>
      </c>
      <c r="D13" t="s">
        <v>2154</v>
      </c>
      <c r="E13" s="4">
        <v>305.57648430803312</v>
      </c>
      <c r="F13" s="44">
        <f>Evap31!L30</f>
        <v>305.83359792237849</v>
      </c>
    </row>
    <row r="14" spans="1:6" x14ac:dyDescent="0.2">
      <c r="A14" t="s">
        <v>2131</v>
      </c>
      <c r="B14" s="3">
        <v>248.59777497538678</v>
      </c>
      <c r="C14" s="44">
        <f>Evap29!M31</f>
        <v>1201.920168647322</v>
      </c>
      <c r="D14" t="s">
        <v>2155</v>
      </c>
      <c r="E14" s="3">
        <v>194</v>
      </c>
      <c r="F14" s="44">
        <f>Evap31!M30</f>
        <v>195.415585194003</v>
      </c>
    </row>
    <row r="15" spans="1:6" x14ac:dyDescent="0.2">
      <c r="A15" t="s">
        <v>2132</v>
      </c>
      <c r="B15" s="3" t="e">
        <v>#DIV/0!</v>
      </c>
      <c r="C15" s="44">
        <f>Evap29!N31</f>
        <v>3782.3243055555558</v>
      </c>
      <c r="D15" t="s">
        <v>2156</v>
      </c>
      <c r="E15" s="3">
        <v>142.11734971636571</v>
      </c>
      <c r="F15" s="44">
        <f>Evap31!N30</f>
        <v>142.36863618556086</v>
      </c>
    </row>
    <row r="16" spans="1:6" x14ac:dyDescent="0.2">
      <c r="A16" t="s">
        <v>2121</v>
      </c>
      <c r="B16" s="4" t="e">
        <v>#DIV/0!</v>
      </c>
      <c r="C16" s="44">
        <f>Evap29!O31</f>
        <v>104.31361016734643</v>
      </c>
      <c r="D16" t="s">
        <v>2157</v>
      </c>
      <c r="E16" s="3">
        <v>142.52542139033434</v>
      </c>
      <c r="F16" s="44">
        <f>Evap31!O30</f>
        <v>141.93286817694454</v>
      </c>
    </row>
    <row r="17" spans="1:6" x14ac:dyDescent="0.2">
      <c r="A17" t="s">
        <v>2122</v>
      </c>
      <c r="B17" s="4">
        <v>153.55557688774101</v>
      </c>
      <c r="C17" s="44">
        <f>Evap29!P31</f>
        <v>155.2281736786156</v>
      </c>
    </row>
    <row r="18" spans="1:6" x14ac:dyDescent="0.2">
      <c r="A18" t="s">
        <v>2123</v>
      </c>
      <c r="B18" s="4">
        <v>167.2914656462371</v>
      </c>
      <c r="C18" s="44">
        <f>Evap29!Q31</f>
        <v>167.8901825068493</v>
      </c>
    </row>
    <row r="19" spans="1:6" x14ac:dyDescent="0.2">
      <c r="A19" t="s">
        <v>2124</v>
      </c>
      <c r="B19" s="4">
        <v>180.15727458318074</v>
      </c>
      <c r="C19" s="44">
        <f>Evap29!R31</f>
        <v>179.67171312773669</v>
      </c>
    </row>
    <row r="20" spans="1:6" x14ac:dyDescent="0.2">
      <c r="B20" s="70"/>
    </row>
    <row r="23" spans="1:6" x14ac:dyDescent="0.2">
      <c r="D23" s="11">
        <f>PrintLogs!G1</f>
        <v>43318</v>
      </c>
    </row>
    <row r="29" spans="1:6" x14ac:dyDescent="0.2">
      <c r="A29" s="2" t="s">
        <v>2133</v>
      </c>
      <c r="D29" s="2" t="s">
        <v>2158</v>
      </c>
    </row>
    <row r="31" spans="1:6" x14ac:dyDescent="0.2">
      <c r="A31" t="s">
        <v>2134</v>
      </c>
      <c r="B31" s="3" t="e">
        <v>#DIV/0!</v>
      </c>
      <c r="C31" s="44">
        <f>Evap30!B30</f>
        <v>4661.906944444444</v>
      </c>
      <c r="D31" t="s">
        <v>2159</v>
      </c>
      <c r="E31" s="3">
        <v>152.03296341362275</v>
      </c>
      <c r="F31" s="137">
        <f>Evap32!B30</f>
        <v>139.81647826484286</v>
      </c>
    </row>
    <row r="32" spans="1:6" x14ac:dyDescent="0.2">
      <c r="A32" t="s">
        <v>2135</v>
      </c>
      <c r="B32" s="3">
        <v>4860.5900905434901</v>
      </c>
      <c r="C32" s="44">
        <f>Evap30!C30</f>
        <v>4541.4240368135142</v>
      </c>
      <c r="D32" t="s">
        <v>2160</v>
      </c>
      <c r="E32" s="3">
        <v>772.46720592765291</v>
      </c>
      <c r="F32" s="137">
        <f>Evap32!C30</f>
        <v>756.83914217666609</v>
      </c>
    </row>
    <row r="33" spans="1:6" x14ac:dyDescent="0.2">
      <c r="A33" t="s">
        <v>2136</v>
      </c>
      <c r="B33" s="3">
        <v>144.11946837119689</v>
      </c>
      <c r="C33" s="44">
        <f>Evap30!D30</f>
        <v>137.35687395527145</v>
      </c>
      <c r="D33" t="s">
        <v>2161</v>
      </c>
      <c r="E33" s="140">
        <v>5.2999999999999999E-2</v>
      </c>
      <c r="F33" s="2">
        <v>5.2999999999999999E-2</v>
      </c>
    </row>
    <row r="34" spans="1:6" x14ac:dyDescent="0.2">
      <c r="A34" t="s">
        <v>2137</v>
      </c>
      <c r="B34" s="6" t="e">
        <v>#DIV/0!</v>
      </c>
      <c r="C34" s="21" t="e">
        <f>Evap30!E30</f>
        <v>#DIV/0!</v>
      </c>
      <c r="D34" t="s">
        <v>2162</v>
      </c>
      <c r="E34" s="3">
        <v>25.734196959385585</v>
      </c>
      <c r="F34" s="137">
        <f>Evap32!E30</f>
        <v>25.658349549125159</v>
      </c>
    </row>
    <row r="35" spans="1:6" x14ac:dyDescent="0.2">
      <c r="A35" t="s">
        <v>2138</v>
      </c>
      <c r="B35" s="4">
        <v>179.33733250854957</v>
      </c>
      <c r="C35" s="44">
        <f>Evap30!F30</f>
        <v>181.0709431933744</v>
      </c>
      <c r="D35" t="s">
        <v>2163</v>
      </c>
      <c r="E35" s="3">
        <v>26.029000938786041</v>
      </c>
      <c r="F35" s="137">
        <f>Evap32!F30</f>
        <v>26.068961831821227</v>
      </c>
    </row>
    <row r="36" spans="1:6" x14ac:dyDescent="0.2">
      <c r="A36" t="s">
        <v>2139</v>
      </c>
      <c r="B36" s="4">
        <v>173.26680361243615</v>
      </c>
      <c r="C36" s="44">
        <f>Evap30!G30</f>
        <v>173.80216371197898</v>
      </c>
    </row>
    <row r="37" spans="1:6" x14ac:dyDescent="0.2">
      <c r="A37" t="s">
        <v>2140</v>
      </c>
      <c r="B37" s="4">
        <v>182.56899968197769</v>
      </c>
      <c r="C37" s="44">
        <f>Evap30!H30</f>
        <v>179.61344086717671</v>
      </c>
    </row>
    <row r="38" spans="1:6" x14ac:dyDescent="0.2">
      <c r="A38" t="s">
        <v>2141</v>
      </c>
      <c r="B38" s="4">
        <v>177.00626393291165</v>
      </c>
      <c r="C38" s="44">
        <f>Evap30!I30</f>
        <v>173.78750453412167</v>
      </c>
    </row>
    <row r="39" spans="1:6" x14ac:dyDescent="0.2">
      <c r="A39" t="s">
        <v>2142</v>
      </c>
      <c r="B39" s="3">
        <v>107.23777772835724</v>
      </c>
      <c r="C39" s="44">
        <f>Evap30!J30</f>
        <v>95.000724553705979</v>
      </c>
    </row>
    <row r="40" spans="1:6" x14ac:dyDescent="0.2">
      <c r="A40" t="s">
        <v>2143</v>
      </c>
      <c r="B40" s="6" t="e">
        <v>#DIV/0!</v>
      </c>
      <c r="C40" s="21" t="e">
        <f>Evap30!K30</f>
        <v>#DIV/0!</v>
      </c>
      <c r="D40" s="3"/>
    </row>
    <row r="41" spans="1:6" x14ac:dyDescent="0.2">
      <c r="D41" s="3"/>
    </row>
  </sheetData>
  <phoneticPr fontId="0" type="noConversion"/>
  <printOptions gridLines="1"/>
  <pageMargins left="0.5" right="0.5" top="1" bottom="1" header="0.5" footer="0.5"/>
  <pageSetup orientation="portrait" r:id="rId1"/>
  <headerFooter alignWithMargins="0">
    <oddHeader>&amp;C&amp;"Arial,Bold"&amp;12Evaporation Input - Forms 29-32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R31"/>
  <sheetViews>
    <sheetView workbookViewId="0">
      <selection activeCell="A7" sqref="A7"/>
    </sheetView>
  </sheetViews>
  <sheetFormatPr defaultColWidth="9.140625" defaultRowHeight="12.75" x14ac:dyDescent="0.2"/>
  <cols>
    <col min="1" max="1" width="13" style="58" customWidth="1"/>
    <col min="2" max="2" width="9.5703125" style="58" customWidth="1"/>
    <col min="3" max="6" width="8.28515625" style="58" bestFit="1" customWidth="1"/>
    <col min="7" max="7" width="7.7109375" style="58" bestFit="1" customWidth="1"/>
    <col min="8" max="13" width="8.28515625" style="58" bestFit="1" customWidth="1"/>
    <col min="14" max="14" width="8.42578125" style="58" bestFit="1" customWidth="1"/>
    <col min="15" max="18" width="8.28515625" style="58" bestFit="1" customWidth="1"/>
    <col min="19" max="16384" width="9.140625" style="58"/>
  </cols>
  <sheetData>
    <row r="1" spans="1:18" x14ac:dyDescent="0.2">
      <c r="A1" s="76" t="s">
        <v>1226</v>
      </c>
      <c r="B1" s="125">
        <f>PrintLogs!G1</f>
        <v>43318</v>
      </c>
    </row>
    <row r="2" spans="1:18" ht="13.5" thickBot="1" x14ac:dyDescent="0.25">
      <c r="A2" s="77"/>
    </row>
    <row r="3" spans="1:18" ht="13.5" thickBot="1" x14ac:dyDescent="0.25">
      <c r="A3" s="78"/>
      <c r="B3" s="151" t="s">
        <v>2119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3"/>
    </row>
    <row r="4" spans="1:18" hidden="1" x14ac:dyDescent="0.2">
      <c r="A4" s="79"/>
      <c r="B4" s="80"/>
      <c r="C4" s="80"/>
      <c r="D4" s="80"/>
      <c r="E4" s="80"/>
      <c r="F4" s="80"/>
      <c r="G4" s="71" t="s">
        <v>1224</v>
      </c>
      <c r="H4" s="72" t="s">
        <v>1225</v>
      </c>
      <c r="I4" s="80"/>
      <c r="J4" s="80"/>
      <c r="K4" s="80"/>
      <c r="L4" s="80"/>
      <c r="M4" s="80"/>
      <c r="N4" s="80"/>
      <c r="O4" s="80"/>
      <c r="P4" s="80"/>
      <c r="Q4" s="80"/>
      <c r="R4" s="90"/>
    </row>
    <row r="5" spans="1:18" ht="51.75" thickBot="1" x14ac:dyDescent="0.25">
      <c r="A5" s="89" t="s">
        <v>1226</v>
      </c>
      <c r="B5" s="103" t="s">
        <v>1227</v>
      </c>
      <c r="C5" s="104" t="s">
        <v>2121</v>
      </c>
      <c r="D5" s="104" t="s">
        <v>2122</v>
      </c>
      <c r="E5" s="104" t="s">
        <v>2123</v>
      </c>
      <c r="F5" s="104" t="s">
        <v>2124</v>
      </c>
      <c r="G5" s="104" t="s">
        <v>1251</v>
      </c>
      <c r="H5" s="104" t="s">
        <v>1228</v>
      </c>
      <c r="I5" s="104" t="s">
        <v>1229</v>
      </c>
      <c r="J5" s="104" t="s">
        <v>1230</v>
      </c>
      <c r="K5" s="104" t="s">
        <v>1231</v>
      </c>
      <c r="L5" s="104" t="s">
        <v>1232</v>
      </c>
      <c r="M5" s="104" t="s">
        <v>1233</v>
      </c>
      <c r="N5" s="104" t="s">
        <v>1234</v>
      </c>
      <c r="O5" s="104" t="s">
        <v>2121</v>
      </c>
      <c r="P5" s="104" t="s">
        <v>2122</v>
      </c>
      <c r="Q5" s="104" t="s">
        <v>2123</v>
      </c>
      <c r="R5" s="105" t="s">
        <v>2124</v>
      </c>
    </row>
    <row r="6" spans="1:18" ht="26.25" hidden="1" thickBot="1" x14ac:dyDescent="0.25">
      <c r="A6" s="81"/>
      <c r="B6" s="83" t="s">
        <v>1235</v>
      </c>
      <c r="C6" s="83" t="s">
        <v>1236</v>
      </c>
      <c r="D6" s="83" t="s">
        <v>1237</v>
      </c>
      <c r="E6" s="83" t="s">
        <v>1238</v>
      </c>
      <c r="F6" s="83" t="s">
        <v>1239</v>
      </c>
      <c r="G6" s="83"/>
      <c r="H6" s="73" t="s">
        <v>1240</v>
      </c>
      <c r="I6" s="73" t="s">
        <v>1241</v>
      </c>
      <c r="J6" s="73" t="s">
        <v>1242</v>
      </c>
      <c r="K6" s="73" t="s">
        <v>1243</v>
      </c>
      <c r="L6" s="84" t="s">
        <v>1244</v>
      </c>
      <c r="M6" s="74" t="s">
        <v>1245</v>
      </c>
      <c r="N6" s="85" t="s">
        <v>1246</v>
      </c>
      <c r="O6" s="74" t="s">
        <v>1247</v>
      </c>
      <c r="P6" s="75" t="s">
        <v>1248</v>
      </c>
      <c r="Q6" s="74" t="s">
        <v>1249</v>
      </c>
      <c r="R6" s="91" t="s">
        <v>1250</v>
      </c>
    </row>
    <row r="7" spans="1:18" x14ac:dyDescent="0.2">
      <c r="A7" s="126">
        <f>B1</f>
        <v>43318</v>
      </c>
      <c r="B7" s="99">
        <f>_xll.PICalcVal(B$6,$A7,$A8,"average", 1, 0,"gramercypi1")</f>
        <v>145.71723336334404</v>
      </c>
      <c r="C7" s="88">
        <f>_xll.PICalcVal(C$6,$A7,$A8,"average", 1, 0,"gramercypi1")</f>
        <v>114</v>
      </c>
      <c r="D7" s="88">
        <f>_xll.PICalcVal(D$6,$A7,$A8,"average", 1, 0,"gramercypi1")</f>
        <v>160.85149685463091</v>
      </c>
      <c r="E7" s="88">
        <f>_xll.PICalcVal(E$6,$A7,$A8,"average", 1, 0,"gramercypi1")</f>
        <v>172.26058859348615</v>
      </c>
      <c r="F7" s="88">
        <f>_xll.PICalcVal(F$6,$A7,$A8,"average", 1, 0,"gramercypi1")</f>
        <v>185.95935166142559</v>
      </c>
      <c r="G7" s="88">
        <f>IF(_xll.PICalcVal($G$4,$A7,$A8, "average",1,0,"gramercypi1")&gt;_xll.PICalcVal($H$4,$A7,$A8,"average",1, 0,"gramercypi1"),_xll.PICalcVal($G$4,$A7,$A8, "average",1,0,"gramercypi1"),_xll.PICalcVal($H$4,$A7,$A8,"average",1, 0,"gramercypi1"))</f>
        <v>220.79074482289482</v>
      </c>
      <c r="H7" s="88">
        <f>_xll.PICalcVal(H$6,$A7,$A8,"average", 1, 0,"gramercypi1")</f>
        <v>208.04353256153539</v>
      </c>
      <c r="I7" s="88">
        <f>_xll.PICalcVal(I$6,$A7,$A8,"average", 1, 0,"gramercypi1")</f>
        <v>181.14169440263777</v>
      </c>
      <c r="J7" s="88">
        <f>_xll.PICalcVal(J$6,$A7,$A8,"average", 1, 0,"gramercypi1")</f>
        <v>175.57357159165525</v>
      </c>
      <c r="K7" s="88">
        <f>_xll.PICalcVal(K$6,$A7,$A8,"average", 1, 0,"gramercypi1")</f>
        <v>170</v>
      </c>
      <c r="L7" s="88">
        <f>_xll.PICalcVal(L$6,$A7,$A8,"average", 1, 0,"gramercypi1")</f>
        <v>21.948582030283941</v>
      </c>
      <c r="M7" s="88">
        <f>_xll.PICalcVal(M$6,$A7,$A8,"average", 1, 0,"gramercypi1")</f>
        <v>302.54284244697851</v>
      </c>
      <c r="N7" s="88">
        <f>_xll.PICalcVal(N$6,$A7,$A8,"average", 1, 0,"gramercypi1")</f>
        <v>3865.7</v>
      </c>
      <c r="O7" s="88">
        <f>_xll.PICalcVal(O$6,$A7,$A8,"average", 1, 0,"gramercypi1")</f>
        <v>104</v>
      </c>
      <c r="P7" s="88">
        <f>_xll.PICalcVal(P$6,$A7,$A8,"average", 1, 0,"gramercypi1")</f>
        <v>152.5453618114617</v>
      </c>
      <c r="Q7" s="88">
        <f>_xll.PICalcVal(Q$6,$A7,$A8,"average", 1, 0,"gramercypi1")</f>
        <v>166</v>
      </c>
      <c r="R7" s="96">
        <f>_xll.PICalcVal(R$6,$A7,$A8,"average", 1, 0,"gramercypi1")</f>
        <v>179</v>
      </c>
    </row>
    <row r="8" spans="1:18" x14ac:dyDescent="0.2">
      <c r="A8" s="127">
        <f>A7+(1/24)</f>
        <v>43318.041666666664</v>
      </c>
      <c r="B8" s="100">
        <f>_xll.PICalcVal(B$6,$A8,$A9,"average", 1, 0,"gramercypi1")</f>
        <v>145.28896741399953</v>
      </c>
      <c r="C8" s="87">
        <f>_xll.PICalcVal(C$6,$A8,$A9,"average", 1, 0,"gramercypi1")</f>
        <v>114</v>
      </c>
      <c r="D8" s="87">
        <f>_xll.PICalcVal(D$6,$A8,$A9,"average", 1, 0,"gramercypi1")</f>
        <v>160.55902757305967</v>
      </c>
      <c r="E8" s="87">
        <f>_xll.PICalcVal(E$6,$A8,$A9,"average", 1, 0,"gramercypi1")</f>
        <v>172</v>
      </c>
      <c r="F8" s="87">
        <f>_xll.PICalcVal(F$6,$A8,$A9,"average", 1, 0,"gramercypi1")</f>
        <v>185.83077235086648</v>
      </c>
      <c r="G8" s="87">
        <f>IF(_xll.PICalcVal($G$4,$A8,$A9, "average",1,0,"gramercypi1")&gt;_xll.PICalcVal($H$4,$A8,$A9,"average",1, 0,"gramercypi1"),_xll.PICalcVal($G$4,$A8,$A9, "average",1,0,"gramercypi1"),_xll.PICalcVal($H$4,$A8,$A9,"average",1, 0,"gramercypi1"))</f>
        <v>220.44476301654504</v>
      </c>
      <c r="H8" s="87">
        <f>_xll.PICalcVal(H$6,$A8,$A9,"average", 1, 0,"gramercypi1")</f>
        <v>208</v>
      </c>
      <c r="I8" s="87">
        <f>_xll.PICalcVal(I$6,$A8,$A9,"average", 1, 0,"gramercypi1")</f>
        <v>181.82827910943649</v>
      </c>
      <c r="J8" s="87">
        <f>_xll.PICalcVal(J$6,$A8,$A9,"average", 1, 0,"gramercypi1")</f>
        <v>175.44599340934093</v>
      </c>
      <c r="K8" s="87">
        <f>_xll.PICalcVal(K$6,$A8,$A9,"average", 1, 0,"gramercypi1")</f>
        <v>170</v>
      </c>
      <c r="L8" s="87">
        <f>_xll.PICalcVal(L$6,$A8,$A9,"average", 1, 0,"gramercypi1")</f>
        <v>21.974292225504215</v>
      </c>
      <c r="M8" s="87">
        <f>_xll.PICalcVal(M$6,$A8,$A9,"average", 1, 0,"gramercypi1")</f>
        <v>302.52337163758477</v>
      </c>
      <c r="N8" s="87">
        <f>_xll.PICalcVal(N$6,$A8,$A9,"average", 1, 0,"gramercypi1")</f>
        <v>3859.0166666666669</v>
      </c>
      <c r="O8" s="87">
        <f>_xll.PICalcVal(O$6,$A8,$A9,"average", 1, 0,"gramercypi1")</f>
        <v>104</v>
      </c>
      <c r="P8" s="87">
        <f>_xll.PICalcVal(P$6,$A8,$A9,"average", 1, 0,"gramercypi1")</f>
        <v>152.19269657808201</v>
      </c>
      <c r="Q8" s="87">
        <f>_xll.PICalcVal(Q$6,$A8,$A9,"average", 1, 0,"gramercypi1")</f>
        <v>166</v>
      </c>
      <c r="R8" s="97">
        <f>_xll.PICalcVal(R$6,$A8,$A9,"average", 1, 0,"gramercypi1")</f>
        <v>179.00305611292521</v>
      </c>
    </row>
    <row r="9" spans="1:18" x14ac:dyDescent="0.2">
      <c r="A9" s="127">
        <f t="shared" ref="A9:A31" si="0">A8+(1/24)</f>
        <v>43318.083333333328</v>
      </c>
      <c r="B9" s="100">
        <f>_xll.PICalcVal(B$6,$A9,$A10,"average", 1, 0,"gramercypi1")</f>
        <v>144.86070146465502</v>
      </c>
      <c r="C9" s="87">
        <f>_xll.PICalcVal(C$6,$A9,$A10,"average", 1, 0,"gramercypi1")</f>
        <v>113.99670650701603</v>
      </c>
      <c r="D9" s="87">
        <f>_xll.PICalcVal(D$6,$A9,$A10,"average", 1, 0,"gramercypi1")</f>
        <v>160.26655829148837</v>
      </c>
      <c r="E9" s="87">
        <f>_xll.PICalcVal(E$6,$A9,$A10,"average", 1, 0,"gramercypi1")</f>
        <v>172</v>
      </c>
      <c r="F9" s="87">
        <f>_xll.PICalcVal(F$6,$A9,$A10,"average", 1, 0,"gramercypi1")</f>
        <v>185.70318513013581</v>
      </c>
      <c r="G9" s="87">
        <f>IF(_xll.PICalcVal($G$4,$A9,$A10, "average",1,0,"gramercypi1")&gt;_xll.PICalcVal($H$4,$A9,$A10,"average",1, 0,"gramercypi1"),_xll.PICalcVal($G$4,$A9,$A10, "average",1,0,"gramercypi1"),_xll.PICalcVal($H$4,$A9,$A10,"average",1, 0,"gramercypi1"))</f>
        <v>220.5463631699435</v>
      </c>
      <c r="H9" s="87">
        <f>_xll.PICalcVal(H$6,$A9,$A10,"average", 1, 0,"gramercypi1")</f>
        <v>208</v>
      </c>
      <c r="I9" s="87">
        <f>_xll.PICalcVal(I$6,$A9,$A10,"average", 1, 0,"gramercypi1")</f>
        <v>182.53354463125783</v>
      </c>
      <c r="J9" s="87">
        <f>_xll.PICalcVal(J$6,$A9,$A10,"average", 1, 0,"gramercypi1")</f>
        <v>175.31841522702655</v>
      </c>
      <c r="K9" s="87">
        <f>_xll.PICalcVal(K$6,$A9,$A10,"average", 1, 0,"gramercypi1")</f>
        <v>170</v>
      </c>
      <c r="L9" s="87">
        <f>_xll.PICalcVal(L$6,$A9,$A10,"average", 1, 0,"gramercypi1")</f>
        <v>21.976169241807792</v>
      </c>
      <c r="M9" s="87">
        <f>_xll.PICalcVal(M$6,$A9,$A10,"average", 1, 0,"gramercypi1")</f>
        <v>302.76247911299771</v>
      </c>
      <c r="N9" s="87">
        <f>_xll.PICalcVal(N$6,$A9,$A10,"average", 1, 0,"gramercypi1")</f>
        <v>3866.2666666666669</v>
      </c>
      <c r="O9" s="87">
        <f>_xll.PICalcVal(O$6,$A9,$A10,"average", 1, 0,"gramercypi1")</f>
        <v>104</v>
      </c>
      <c r="P9" s="87">
        <f>_xll.PICalcVal(P$6,$A9,$A10,"average", 1, 0,"gramercypi1")</f>
        <v>151.84003134470231</v>
      </c>
      <c r="Q9" s="87">
        <f>_xll.PICalcVal(Q$6,$A9,$A10,"average", 1, 0,"gramercypi1")</f>
        <v>166</v>
      </c>
      <c r="R9" s="97">
        <f>_xll.PICalcVal(R$6,$A9,$A10,"average", 1, 0,"gramercypi1")</f>
        <v>179</v>
      </c>
    </row>
    <row r="10" spans="1:18" x14ac:dyDescent="0.2">
      <c r="A10" s="127">
        <f t="shared" si="0"/>
        <v>43318.124999999993</v>
      </c>
      <c r="B10" s="100">
        <f>_xll.PICalcVal(B$6,$A10,$A11,"average", 1, 0,"gramercypi1")</f>
        <v>144.43243551531052</v>
      </c>
      <c r="C10" s="87">
        <f>_xll.PICalcVal(C$6,$A10,$A11,"average", 1, 0,"gramercypi1")</f>
        <v>113.85071032206386</v>
      </c>
      <c r="D10" s="87">
        <f>_xll.PICalcVal(D$6,$A10,$A11,"average", 1, 0,"gramercypi1")</f>
        <v>159.97408900991712</v>
      </c>
      <c r="E10" s="87">
        <f>_xll.PICalcVal(E$6,$A10,$A11,"average", 1, 0,"gramercypi1")</f>
        <v>172</v>
      </c>
      <c r="F10" s="87">
        <f>_xll.PICalcVal(F$6,$A10,$A11,"average", 1, 0,"gramercypi1")</f>
        <v>185.57559790940513</v>
      </c>
      <c r="G10" s="87">
        <f>IF(_xll.PICalcVal($G$4,$A10,$A11, "average",1,0,"gramercypi1")&gt;_xll.PICalcVal($H$4,$A10,$A11,"average",1, 0,"gramercypi1"),_xll.PICalcVal($G$4,$A10,$A11, "average",1,0,"gramercypi1"),_xll.PICalcVal($H$4,$A10,$A11,"average",1, 0,"gramercypi1"))</f>
        <v>220.72848358268411</v>
      </c>
      <c r="H10" s="87">
        <f>_xll.PICalcVal(H$6,$A10,$A11,"average", 1, 0,"gramercypi1")</f>
        <v>208</v>
      </c>
      <c r="I10" s="87">
        <f>_xll.PICalcVal(I$6,$A10,$A11,"average", 1, 0,"gramercypi1")</f>
        <v>182.99081510037516</v>
      </c>
      <c r="J10" s="87">
        <f>_xll.PICalcVal(J$6,$A10,$A11,"average", 1, 0,"gramercypi1")</f>
        <v>175.19083704471223</v>
      </c>
      <c r="K10" s="87">
        <f>_xll.PICalcVal(K$6,$A10,$A11,"average", 1, 0,"gramercypi1")</f>
        <v>170</v>
      </c>
      <c r="L10" s="87">
        <f>_xll.PICalcVal(L$6,$A10,$A11,"average", 1, 0,"gramercypi1")</f>
        <v>22.018828076293843</v>
      </c>
      <c r="M10" s="87">
        <f>_xll.PICalcVal(M$6,$A10,$A11,"average", 1, 0,"gramercypi1")</f>
        <v>302.82134554486629</v>
      </c>
      <c r="N10" s="87">
        <f>_xll.PICalcVal(N$6,$A10,$A11,"average", 1, 0,"gramercypi1")</f>
        <v>3882.1333333333332</v>
      </c>
      <c r="O10" s="87">
        <f>_xll.PICalcVal(O$6,$A10,$A11,"average", 1, 0,"gramercypi1")</f>
        <v>104</v>
      </c>
      <c r="P10" s="87">
        <f>_xll.PICalcVal(P$6,$A10,$A11,"average", 1, 0,"gramercypi1")</f>
        <v>151.48736611132261</v>
      </c>
      <c r="Q10" s="87">
        <f>_xll.PICalcVal(Q$6,$A10,$A11,"average", 1, 0,"gramercypi1")</f>
        <v>165.46461004754838</v>
      </c>
      <c r="R10" s="97">
        <f>_xll.PICalcVal(R$6,$A10,$A11,"average", 1, 0,"gramercypi1")</f>
        <v>178.28542069541083</v>
      </c>
    </row>
    <row r="11" spans="1:18" x14ac:dyDescent="0.2">
      <c r="A11" s="127">
        <f t="shared" si="0"/>
        <v>43318.166666666657</v>
      </c>
      <c r="B11" s="100">
        <f>_xll.PICalcVal(B$6,$A11,$A12,"average", 1, 0,"gramercypi1")</f>
        <v>144.00416956596604</v>
      </c>
      <c r="C11" s="87">
        <f>_xll.PICalcVal(C$6,$A11,$A12,"average", 1, 0,"gramercypi1")</f>
        <v>113.62862586090608</v>
      </c>
      <c r="D11" s="87">
        <f>_xll.PICalcVal(D$6,$A11,$A12,"average", 1, 0,"gramercypi1")</f>
        <v>159.68161972834582</v>
      </c>
      <c r="E11" s="87">
        <f>_xll.PICalcVal(E$6,$A11,$A12,"average", 1, 0,"gramercypi1")</f>
        <v>172</v>
      </c>
      <c r="F11" s="87">
        <f>_xll.PICalcVal(F$6,$A11,$A12,"average", 1, 0,"gramercypi1")</f>
        <v>185.44801068867446</v>
      </c>
      <c r="G11" s="87">
        <f>IF(_xll.PICalcVal($G$4,$A11,$A12, "average",1,0,"gramercypi1")&gt;_xll.PICalcVal($H$4,$A11,$A12,"average",1, 0,"gramercypi1"),_xll.PICalcVal($G$4,$A11,$A12, "average",1,0,"gramercypi1"),_xll.PICalcVal($H$4,$A11,$A12,"average",1, 0,"gramercypi1"))</f>
        <v>220.68787873490771</v>
      </c>
      <c r="H11" s="87">
        <f>_xll.PICalcVal(H$6,$A11,$A12,"average", 1, 0,"gramercypi1")</f>
        <v>208</v>
      </c>
      <c r="I11" s="87">
        <f>_xll.PICalcVal(I$6,$A11,$A12,"average", 1, 0,"gramercypi1")</f>
        <v>183</v>
      </c>
      <c r="J11" s="87">
        <f>_xll.PICalcVal(J$6,$A11,$A12,"average", 1, 0,"gramercypi1")</f>
        <v>175.06326198305729</v>
      </c>
      <c r="K11" s="87">
        <f>_xll.PICalcVal(K$6,$A11,$A12,"average", 1, 0,"gramercypi1")</f>
        <v>170</v>
      </c>
      <c r="L11" s="87">
        <f>_xll.PICalcVal(L$6,$A11,$A12,"average", 1, 0,"gramercypi1")</f>
        <v>21.975383593395168</v>
      </c>
      <c r="M11" s="87">
        <f>_xll.PICalcVal(M$6,$A11,$A12,"average", 1, 0,"gramercypi1")</f>
        <v>302.65083077748619</v>
      </c>
      <c r="N11" s="87">
        <f>_xll.PICalcVal(N$6,$A11,$A12,"average", 1, 0,"gramercypi1")</f>
        <v>3800.25</v>
      </c>
      <c r="O11" s="87">
        <f>_xll.PICalcVal(O$6,$A11,$A12,"average", 1, 0,"gramercypi1")</f>
        <v>104</v>
      </c>
      <c r="P11" s="87">
        <f>_xll.PICalcVal(P$6,$A11,$A12,"average", 1, 0,"gramercypi1")</f>
        <v>151.13715816818171</v>
      </c>
      <c r="Q11" s="87">
        <f>_xll.PICalcVal(Q$6,$A11,$A12,"average", 1, 0,"gramercypi1")</f>
        <v>164.38790134568072</v>
      </c>
      <c r="R11" s="97">
        <f>_xll.PICalcVal(R$6,$A11,$A12,"average", 1, 0,"gramercypi1")</f>
        <v>177.98972347259522</v>
      </c>
    </row>
    <row r="12" spans="1:18" x14ac:dyDescent="0.2">
      <c r="A12" s="127">
        <f t="shared" si="0"/>
        <v>43318.208333333321</v>
      </c>
      <c r="B12" s="100">
        <f>_xll.PICalcVal(B$6,$A12,$A13,"average", 1, 0,"gramercypi1")</f>
        <v>143.57590361662153</v>
      </c>
      <c r="C12" s="87">
        <f>_xll.PICalcVal(C$6,$A12,$A13,"average", 1, 0,"gramercypi1")</f>
        <v>113.40654139974833</v>
      </c>
      <c r="D12" s="87">
        <f>_xll.PICalcVal(D$6,$A12,$A13,"average", 1, 0,"gramercypi1")</f>
        <v>159.38915044677458</v>
      </c>
      <c r="E12" s="87">
        <f>_xll.PICalcVal(E$6,$A12,$A13,"average", 1, 0,"gramercypi1")</f>
        <v>172</v>
      </c>
      <c r="F12" s="87">
        <f>_xll.PICalcVal(F$6,$A12,$A13,"average", 1, 0,"gramercypi1")</f>
        <v>185.32042346794375</v>
      </c>
      <c r="G12" s="87">
        <f>IF(_xll.PICalcVal($G$4,$A12,$A13, "average",1,0,"gramercypi1")&gt;_xll.PICalcVal($H$4,$A12,$A13,"average",1, 0,"gramercypi1"),_xll.PICalcVal($G$4,$A12,$A13, "average",1,0,"gramercypi1"),_xll.PICalcVal($H$4,$A12,$A13,"average",1, 0,"gramercypi1"))</f>
        <v>220.47515078772565</v>
      </c>
      <c r="H12" s="87">
        <f>_xll.PICalcVal(H$6,$A12,$A13,"average", 1, 0,"gramercypi1")</f>
        <v>208</v>
      </c>
      <c r="I12" s="87">
        <f>_xll.PICalcVal(I$6,$A12,$A13,"average", 1, 0,"gramercypi1")</f>
        <v>183</v>
      </c>
      <c r="J12" s="87">
        <f>_xll.PICalcVal(J$6,$A12,$A13,"average", 1, 0,"gramercypi1")</f>
        <v>175.11784682333771</v>
      </c>
      <c r="K12" s="87">
        <f>_xll.PICalcVal(K$6,$A12,$A13,"average", 1, 0,"gramercypi1")</f>
        <v>170</v>
      </c>
      <c r="L12" s="87">
        <f>_xll.PICalcVal(L$6,$A12,$A13,"average", 1, 0,"gramercypi1")</f>
        <v>21.891348084659811</v>
      </c>
      <c r="M12" s="87">
        <f>_xll.PICalcVal(M$6,$A12,$A13,"average", 1, 0,"gramercypi1")</f>
        <v>309.38420829137164</v>
      </c>
      <c r="N12" s="87">
        <f>_xll.PICalcVal(N$6,$A12,$A13,"average", 1, 0,"gramercypi1")</f>
        <v>3790.8333333333335</v>
      </c>
      <c r="O12" s="87">
        <f>_xll.PICalcVal(O$6,$A12,$A13,"average", 1, 0,"gramercypi1")</f>
        <v>104</v>
      </c>
      <c r="P12" s="87">
        <f>_xll.PICalcVal(P$6,$A12,$A13,"average", 1, 0,"gramercypi1")</f>
        <v>151.20565416661952</v>
      </c>
      <c r="Q12" s="87">
        <f>_xll.PICalcVal(Q$6,$A12,$A13,"average", 1, 0,"gramercypi1")</f>
        <v>164.62356991408507</v>
      </c>
      <c r="R12" s="97">
        <f>_xll.PICalcVal(R$6,$A12,$A13,"average", 1, 0,"gramercypi1")</f>
        <v>177.83760832892523</v>
      </c>
    </row>
    <row r="13" spans="1:18" x14ac:dyDescent="0.2">
      <c r="A13" s="127">
        <f t="shared" si="0"/>
        <v>43318.249999999985</v>
      </c>
      <c r="B13" s="100">
        <f>_xll.PICalcVal(B$6,$A13,$A14,"average", 1, 0,"gramercypi1")</f>
        <v>143.15739557388002</v>
      </c>
      <c r="C13" s="87">
        <f>_xll.PICalcVal(C$6,$A13,$A14,"average", 1, 0,"gramercypi1")</f>
        <v>113.18445693859056</v>
      </c>
      <c r="D13" s="87">
        <f>_xll.PICalcVal(D$6,$A13,$A14,"average", 1, 0,"gramercypi1")</f>
        <v>159.10921479570132</v>
      </c>
      <c r="E13" s="87">
        <f>_xll.PICalcVal(E$6,$A13,$A14,"average", 1, 0,"gramercypi1")</f>
        <v>172</v>
      </c>
      <c r="F13" s="87">
        <f>_xll.PICalcVal(F$6,$A13,$A14,"average", 1, 0,"gramercypi1")</f>
        <v>185.19283624721305</v>
      </c>
      <c r="G13" s="87">
        <f>IF(_xll.PICalcVal($G$4,$A13,$A14, "average",1,0,"gramercypi1")&gt;_xll.PICalcVal($H$4,$A13,$A14,"average",1, 0,"gramercypi1"),_xll.PICalcVal($G$4,$A13,$A14, "average",1,0,"gramercypi1"),_xll.PICalcVal($H$4,$A13,$A14,"average",1, 0,"gramercypi1"))</f>
        <v>220.42049967403486</v>
      </c>
      <c r="H13" s="87">
        <f>_xll.PICalcVal(H$6,$A13,$A14,"average", 1, 0,"gramercypi1")</f>
        <v>208</v>
      </c>
      <c r="I13" s="87">
        <f>_xll.PICalcVal(I$6,$A13,$A14,"average", 1, 0,"gramercypi1")</f>
        <v>183</v>
      </c>
      <c r="J13" s="87">
        <f>_xll.PICalcVal(J$6,$A13,$A14,"average", 1, 0,"gramercypi1")</f>
        <v>175.35159748383083</v>
      </c>
      <c r="K13" s="87">
        <f>_xll.PICalcVal(K$6,$A13,$A14,"average", 1, 0,"gramercypi1")</f>
        <v>170</v>
      </c>
      <c r="L13" s="87">
        <f>_xll.PICalcVal(L$6,$A13,$A14,"average", 1, 0,"gramercypi1")</f>
        <v>21.978278170092377</v>
      </c>
      <c r="M13" s="87">
        <f>_xll.PICalcVal(M$6,$A13,$A14,"average", 1, 0,"gramercypi1")</f>
        <v>598.34266377766926</v>
      </c>
      <c r="N13" s="87">
        <f>_xll.PICalcVal(N$6,$A13,$A14,"average", 1, 0,"gramercypi1")</f>
        <v>3863.6</v>
      </c>
      <c r="O13" s="87">
        <f>_xll.PICalcVal(O$6,$A13,$A14,"average", 1, 0,"gramercypi1")</f>
        <v>104</v>
      </c>
      <c r="P13" s="87">
        <f>_xll.PICalcVal(P$6,$A13,$A14,"average", 1, 0,"gramercypi1")</f>
        <v>154.30258760791446</v>
      </c>
      <c r="Q13" s="87">
        <f>_xll.PICalcVal(Q$6,$A13,$A14,"average", 1, 0,"gramercypi1")</f>
        <v>167.82086716551876</v>
      </c>
      <c r="R13" s="97">
        <f>_xll.PICalcVal(R$6,$A13,$A14,"average", 1, 0,"gramercypi1")</f>
        <v>180.30097034666272</v>
      </c>
    </row>
    <row r="14" spans="1:18" x14ac:dyDescent="0.2">
      <c r="A14" s="127">
        <f t="shared" si="0"/>
        <v>43318.29166666665</v>
      </c>
      <c r="B14" s="100">
        <f>_xll.PICalcVal(B$6,$A14,$A15,"average", 1, 0,"gramercypi1")</f>
        <v>143.24982805253688</v>
      </c>
      <c r="C14" s="87">
        <f>_xll.PICalcVal(C$6,$A14,$A15,"average", 1, 0,"gramercypi1")</f>
        <v>113.01213439095275</v>
      </c>
      <c r="D14" s="87">
        <f>_xll.PICalcVal(D$6,$A14,$A15,"average", 1, 0,"gramercypi1")</f>
        <v>159.38876668014143</v>
      </c>
      <c r="E14" s="87">
        <f>_xll.PICalcVal(E$6,$A14,$A15,"average", 1, 0,"gramercypi1")</f>
        <v>172</v>
      </c>
      <c r="F14" s="87">
        <f>_xll.PICalcVal(F$6,$A14,$A15,"average", 1, 0,"gramercypi1")</f>
        <v>185.06524902648238</v>
      </c>
      <c r="G14" s="87">
        <f>IF(_xll.PICalcVal($G$4,$A14,$A15, "average",1,0,"gramercypi1")&gt;_xll.PICalcVal($H$4,$A14,$A15,"average",1, 0,"gramercypi1"),_xll.PICalcVal($G$4,$A14,$A15, "average",1,0,"gramercypi1"),_xll.PICalcVal($H$4,$A14,$A15,"average",1, 0,"gramercypi1"))</f>
        <v>220.19595479166918</v>
      </c>
      <c r="H14" s="87">
        <f>_xll.PICalcVal(H$6,$A14,$A15,"average", 1, 0,"gramercypi1")</f>
        <v>208</v>
      </c>
      <c r="I14" s="87">
        <f>_xll.PICalcVal(I$6,$A14,$A15,"average", 1, 0,"gramercypi1")</f>
        <v>183</v>
      </c>
      <c r="J14" s="87">
        <f>_xll.PICalcVal(J$6,$A14,$A15,"average", 1, 0,"gramercypi1")</f>
        <v>175.58534814432397</v>
      </c>
      <c r="K14" s="87">
        <f>_xll.PICalcVal(K$6,$A14,$A15,"average", 1, 0,"gramercypi1")</f>
        <v>170</v>
      </c>
      <c r="L14" s="87">
        <f>_xll.PICalcVal(L$6,$A14,$A15,"average", 1, 0,"gramercypi1")</f>
        <v>21.952578623707097</v>
      </c>
      <c r="M14" s="87">
        <f>_xll.PICalcVal(M$6,$A14,$A15,"average", 1, 0,"gramercypi1")</f>
        <v>627.45905657238427</v>
      </c>
      <c r="N14" s="87">
        <f>_xll.PICalcVal(N$6,$A14,$A15,"average", 1, 0,"gramercypi1")</f>
        <v>3837.65</v>
      </c>
      <c r="O14" s="87">
        <f>_xll.PICalcVal(O$6,$A14,$A15,"average", 1, 0,"gramercypi1")</f>
        <v>104</v>
      </c>
      <c r="P14" s="87">
        <f>_xll.PICalcVal(P$6,$A14,$A15,"average", 1, 0,"gramercypi1")</f>
        <v>153.86109253921492</v>
      </c>
      <c r="Q14" s="87">
        <f>_xll.PICalcVal(Q$6,$A14,$A15,"average", 1, 0,"gramercypi1")</f>
        <v>166.74074576520303</v>
      </c>
      <c r="R14" s="97">
        <f>_xll.PICalcVal(R$6,$A14,$A15,"average", 1, 0,"gramercypi1")</f>
        <v>177.70438037872316</v>
      </c>
    </row>
    <row r="15" spans="1:18" x14ac:dyDescent="0.2">
      <c r="A15" s="127">
        <f t="shared" si="0"/>
        <v>43318.333333333314</v>
      </c>
      <c r="B15" s="100">
        <f>_xll.PICalcVal(B$6,$A15,$A16,"average", 1, 0,"gramercypi1")</f>
        <v>143.63108986729182</v>
      </c>
      <c r="C15" s="87">
        <f>_xll.PICalcVal(C$6,$A15,$A16,"average", 1, 0,"gramercypi1")</f>
        <v>113</v>
      </c>
      <c r="D15" s="87">
        <f>_xll.PICalcVal(D$6,$A15,$A16,"average", 1, 0,"gramercypi1")</f>
        <v>159.96950831936391</v>
      </c>
      <c r="E15" s="87">
        <f>_xll.PICalcVal(E$6,$A15,$A16,"average", 1, 0,"gramercypi1")</f>
        <v>172.07671625007075</v>
      </c>
      <c r="F15" s="87">
        <f>_xll.PICalcVal(F$6,$A15,$A16,"average", 1, 0,"gramercypi1")</f>
        <v>185.25966562099615</v>
      </c>
      <c r="G15" s="87">
        <f>IF(_xll.PICalcVal($G$4,$A15,$A16, "average",1,0,"gramercypi1")&gt;_xll.PICalcVal($H$4,$A15,$A16,"average",1, 0,"gramercypi1"),_xll.PICalcVal($G$4,$A15,$A16, "average",1,0,"gramercypi1"),_xll.PICalcVal($H$4,$A15,$A16,"average",1, 0,"gramercypi1"))</f>
        <v>220.2182377011585</v>
      </c>
      <c r="H15" s="87">
        <f>_xll.PICalcVal(H$6,$A15,$A16,"average", 1, 0,"gramercypi1")</f>
        <v>208.0696324357867</v>
      </c>
      <c r="I15" s="87">
        <f>_xll.PICalcVal(I$6,$A15,$A16,"average", 1, 0,"gramercypi1")</f>
        <v>183</v>
      </c>
      <c r="J15" s="87">
        <f>_xll.PICalcVal(J$6,$A15,$A16,"average", 1, 0,"gramercypi1")</f>
        <v>175.81909880481706</v>
      </c>
      <c r="K15" s="87">
        <f>_xll.PICalcVal(K$6,$A15,$A16,"average", 1, 0,"gramercypi1")</f>
        <v>170</v>
      </c>
      <c r="L15" s="87">
        <f>_xll.PICalcVal(L$6,$A15,$A16,"average", 1, 0,"gramercypi1")</f>
        <v>21.983003883749294</v>
      </c>
      <c r="M15" s="87">
        <f>_xll.PICalcVal(M$6,$A15,$A16,"average", 1, 0,"gramercypi1")</f>
        <v>825.84834027486772</v>
      </c>
      <c r="N15" s="87">
        <f>_xll.PICalcVal(N$6,$A15,$A16,"average", 1, 0,"gramercypi1")</f>
        <v>3882.4</v>
      </c>
      <c r="O15" s="87">
        <f>_xll.PICalcVal(O$6,$A15,$A16,"average", 1, 0,"gramercypi1")</f>
        <v>104</v>
      </c>
      <c r="P15" s="87">
        <f>_xll.PICalcVal(P$6,$A15,$A16,"average", 1, 0,"gramercypi1")</f>
        <v>153.72165500717136</v>
      </c>
      <c r="Q15" s="87">
        <f>_xll.PICalcVal(Q$6,$A15,$A16,"average", 1, 0,"gramercypi1")</f>
        <v>168.39780222947195</v>
      </c>
      <c r="R15" s="97">
        <f>_xll.PICalcVal(R$6,$A15,$A16,"average", 1, 0,"gramercypi1")</f>
        <v>180.84038333560437</v>
      </c>
    </row>
    <row r="16" spans="1:18" x14ac:dyDescent="0.2">
      <c r="A16" s="127">
        <f t="shared" si="0"/>
        <v>43318.374999999978</v>
      </c>
      <c r="B16" s="100">
        <f>_xll.PICalcVal(B$6,$A16,$A17,"average", 1, 0,"gramercypi1")</f>
        <v>144.01235168204676</v>
      </c>
      <c r="C16" s="87">
        <f>_xll.PICalcVal(C$6,$A16,$A17,"average", 1, 0,"gramercypi1")</f>
        <v>113</v>
      </c>
      <c r="D16" s="87">
        <f>_xll.PICalcVal(D$6,$A16,$A17,"average", 1, 0,"gramercypi1")</f>
        <v>160.55024995858645</v>
      </c>
      <c r="E16" s="87">
        <f>_xll.PICalcVal(E$6,$A16,$A17,"average", 1, 0,"gramercypi1")</f>
        <v>172.61121675835997</v>
      </c>
      <c r="F16" s="87">
        <f>_xll.PICalcVal(F$6,$A16,$A17,"average", 1, 0,"gramercypi1")</f>
        <v>185.79099112033816</v>
      </c>
      <c r="G16" s="87">
        <f>IF(_xll.PICalcVal($G$4,$A16,$A17, "average",1,0,"gramercypi1")&gt;_xll.PICalcVal($H$4,$A16,$A17,"average",1, 0,"gramercypi1"),_xll.PICalcVal($G$4,$A16,$A17, "average",1,0,"gramercypi1"),_xll.PICalcVal($H$4,$A16,$A17,"average",1, 0,"gramercypi1"))</f>
        <v>220.78552773640857</v>
      </c>
      <c r="H16" s="87">
        <f>_xll.PICalcVal(H$6,$A16,$A17,"average", 1, 0,"gramercypi1")</f>
        <v>208.55477831149216</v>
      </c>
      <c r="I16" s="87">
        <f>_xll.PICalcVal(I$6,$A16,$A17,"average", 1, 0,"gramercypi1")</f>
        <v>184.26487886541025</v>
      </c>
      <c r="J16" s="87">
        <f>_xll.PICalcVal(J$6,$A16,$A17,"average", 1, 0,"gramercypi1")</f>
        <v>176.89460815075856</v>
      </c>
      <c r="K16" s="87">
        <f>_xll.PICalcVal(K$6,$A16,$A17,"average", 1, 0,"gramercypi1")</f>
        <v>170.10538464782084</v>
      </c>
      <c r="L16" s="87">
        <f>_xll.PICalcVal(L$6,$A16,$A17,"average", 1, 0,"gramercypi1")</f>
        <v>21.904183503113234</v>
      </c>
      <c r="M16" s="87">
        <f>_xll.PICalcVal(M$6,$A16,$A17,"average", 1, 0,"gramercypi1")</f>
        <v>939.03518409054766</v>
      </c>
      <c r="N16" s="87">
        <f>_xll.PICalcVal(N$6,$A16,$A17,"average", 1, 0,"gramercypi1")</f>
        <v>3886.2333333333331</v>
      </c>
      <c r="O16" s="87">
        <f>_xll.PICalcVal(O$6,$A16,$A17,"average", 1, 0,"gramercypi1")</f>
        <v>104</v>
      </c>
      <c r="P16" s="87">
        <f>_xll.PICalcVal(P$6,$A16,$A17,"average", 1, 0,"gramercypi1")</f>
        <v>153.4655315076393</v>
      </c>
      <c r="Q16" s="87">
        <f>_xll.PICalcVal(Q$6,$A16,$A17,"average", 1, 0,"gramercypi1")</f>
        <v>168.02409371065949</v>
      </c>
      <c r="R16" s="97">
        <f>_xll.PICalcVal(R$6,$A16,$A17,"average", 1, 0,"gramercypi1")</f>
        <v>180.56018263619399</v>
      </c>
    </row>
    <row r="17" spans="1:18" x14ac:dyDescent="0.2">
      <c r="A17" s="127">
        <f t="shared" si="0"/>
        <v>43318.416666666642</v>
      </c>
      <c r="B17" s="100">
        <f>_xll.PICalcVal(B$6,$A17,$A18,"average", 1, 0,"gramercypi1")</f>
        <v>144.39361349680166</v>
      </c>
      <c r="C17" s="87">
        <f>_xll.PICalcVal(C$6,$A17,$A18,"average", 1, 0,"gramercypi1")</f>
        <v>113.15373775872609</v>
      </c>
      <c r="D17" s="87">
        <f>_xll.PICalcVal(D$6,$A17,$A18,"average", 1, 0,"gramercypi1")</f>
        <v>160.97812991644932</v>
      </c>
      <c r="E17" s="87">
        <f>_xll.PICalcVal(E$6,$A17,$A18,"average", 1, 0,"gramercypi1")</f>
        <v>173.22159729681036</v>
      </c>
      <c r="F17" s="87">
        <f>_xll.PICalcVal(F$6,$A17,$A18,"average", 1, 0,"gramercypi1")</f>
        <v>186.32235949290566</v>
      </c>
      <c r="G17" s="87">
        <f>IF(_xll.PICalcVal($G$4,$A17,$A18, "average",1,0,"gramercypi1")&gt;_xll.PICalcVal($H$4,$A17,$A18,"average",1, 0,"gramercypi1"),_xll.PICalcVal($G$4,$A17,$A18, "average",1,0,"gramercypi1"),_xll.PICalcVal($H$4,$A17,$A18,"average",1, 0,"gramercypi1"))</f>
        <v>220.79617048766127</v>
      </c>
      <c r="H17" s="87">
        <f>_xll.PICalcVal(H$6,$A17,$A18,"average", 1, 0,"gramercypi1")</f>
        <v>209.10879761783082</v>
      </c>
      <c r="I17" s="87">
        <f>_xll.PICalcVal(I$6,$A17,$A18,"average", 1, 0,"gramercypi1")</f>
        <v>186.97226279040572</v>
      </c>
      <c r="J17" s="87">
        <f>_xll.PICalcVal(J$6,$A17,$A18,"average", 1, 0,"gramercypi1")</f>
        <v>179.83689272732175</v>
      </c>
      <c r="K17" s="87">
        <f>_xll.PICalcVal(K$6,$A17,$A18,"average", 1, 0,"gramercypi1")</f>
        <v>170.49016915538152</v>
      </c>
      <c r="L17" s="87">
        <f>_xll.PICalcVal(L$6,$A17,$A18,"average", 1, 0,"gramercypi1")</f>
        <v>21.846410470555973</v>
      </c>
      <c r="M17" s="87">
        <f>_xll.PICalcVal(M$6,$A17,$A18,"average", 1, 0,"gramercypi1")</f>
        <v>645.95284895738928</v>
      </c>
      <c r="N17" s="87">
        <f>_xll.PICalcVal(N$6,$A17,$A18,"average", 1, 0,"gramercypi1")</f>
        <v>3866.0666666666666</v>
      </c>
      <c r="O17" s="87">
        <f>_xll.PICalcVal(O$6,$A17,$A18,"average", 1, 0,"gramercypi1")</f>
        <v>104.00968470747955</v>
      </c>
      <c r="P17" s="87">
        <f>_xll.PICalcVal(P$6,$A17,$A18,"average", 1, 0,"gramercypi1")</f>
        <v>156.99510980060296</v>
      </c>
      <c r="Q17" s="87">
        <f>_xll.PICalcVal(Q$6,$A17,$A18,"average", 1, 0,"gramercypi1")</f>
        <v>170.53947967113496</v>
      </c>
      <c r="R17" s="97">
        <f>_xll.PICalcVal(R$6,$A17,$A18,"average", 1, 0,"gramercypi1")</f>
        <v>182.59496402952405</v>
      </c>
    </row>
    <row r="18" spans="1:18" x14ac:dyDescent="0.2">
      <c r="A18" s="127">
        <f t="shared" si="0"/>
        <v>43318.458333333307</v>
      </c>
      <c r="B18" s="100">
        <f>_xll.PICalcVal(B$6,$A18,$A19,"average", 1, 0,"gramercypi1")</f>
        <v>144.77487531155657</v>
      </c>
      <c r="C18" s="87">
        <f>_xll.PICalcVal(C$6,$A18,$A19,"average", 1, 0,"gramercypi1")</f>
        <v>114.61721219687055</v>
      </c>
      <c r="D18" s="87">
        <f>_xll.PICalcVal(D$6,$A18,$A19,"average", 1, 0,"gramercypi1")</f>
        <v>161.23000510475961</v>
      </c>
      <c r="E18" s="87">
        <f>_xll.PICalcVal(E$6,$A18,$A19,"average", 1, 0,"gramercypi1")</f>
        <v>173.96806782356336</v>
      </c>
      <c r="F18" s="87">
        <f>_xll.PICalcVal(F$6,$A18,$A19,"average", 1, 0,"gramercypi1")</f>
        <v>186.89081129684016</v>
      </c>
      <c r="G18" s="87">
        <f>IF(_xll.PICalcVal($G$4,$A18,$A19, "average",1,0,"gramercypi1")&gt;_xll.PICalcVal($H$4,$A18,$A19,"average",1, 0,"gramercypi1"),_xll.PICalcVal($G$4,$A18,$A19, "average",1,0,"gramercypi1"),_xll.PICalcVal($H$4,$A18,$A19,"average",1, 0,"gramercypi1"))</f>
        <v>220.81268416022138</v>
      </c>
      <c r="H18" s="87">
        <f>_xll.PICalcVal(H$6,$A18,$A19,"average", 1, 0,"gramercypi1")</f>
        <v>209.66281692416953</v>
      </c>
      <c r="I18" s="87">
        <f>_xll.PICalcVal(I$6,$A18,$A19,"average", 1, 0,"gramercypi1")</f>
        <v>187.10100180218643</v>
      </c>
      <c r="J18" s="87">
        <f>_xll.PICalcVal(J$6,$A18,$A19,"average", 1, 0,"gramercypi1")</f>
        <v>181.15462573560856</v>
      </c>
      <c r="K18" s="87">
        <f>_xll.PICalcVal(K$6,$A18,$A19,"average", 1, 0,"gramercypi1")</f>
        <v>171.17477561988014</v>
      </c>
      <c r="L18" s="87">
        <f>_xll.PICalcVal(L$6,$A18,$A19,"average", 1, 0,"gramercypi1")</f>
        <v>21.747781071818608</v>
      </c>
      <c r="M18" s="87">
        <f>_xll.PICalcVal(M$6,$A18,$A19,"average", 1, 0,"gramercypi1")</f>
        <v>233.6563051393297</v>
      </c>
      <c r="N18" s="87">
        <f>_xll.PICalcVal(N$6,$A18,$A19,"average", 1, 0,"gramercypi1")</f>
        <v>3848.5666666666666</v>
      </c>
      <c r="O18" s="87">
        <f>_xll.PICalcVal(O$6,$A18,$A19,"average", 1, 0,"gramercypi1")</f>
        <v>104.11234803233923</v>
      </c>
      <c r="P18" s="87">
        <f>_xll.PICalcVal(P$6,$A18,$A19,"average", 1, 0,"gramercypi1")</f>
        <v>157.41162404301724</v>
      </c>
      <c r="Q18" s="87">
        <f>_xll.PICalcVal(Q$6,$A18,$A19,"average", 1, 0,"gramercypi1")</f>
        <v>171.34637428969464</v>
      </c>
      <c r="R18" s="97">
        <f>_xll.PICalcVal(R$6,$A18,$A19,"average", 1, 0,"gramercypi1")</f>
        <v>183.77348375108508</v>
      </c>
    </row>
    <row r="19" spans="1:18" x14ac:dyDescent="0.2">
      <c r="A19" s="127">
        <f t="shared" si="0"/>
        <v>43318.499999999971</v>
      </c>
      <c r="B19" s="100">
        <f>_xll.PICalcVal(B$6,$A19,$A20,"average", 1, 0,"gramercypi1")</f>
        <v>145.15613712631151</v>
      </c>
      <c r="C19" s="87">
        <f>_xll.PICalcVal(C$6,$A19,$A20,"average", 1, 0,"gramercypi1")</f>
        <v>114.84988158165521</v>
      </c>
      <c r="D19" s="87">
        <f>_xll.PICalcVal(D$6,$A19,$A20,"average", 1, 0,"gramercypi1")</f>
        <v>162.53953071776598</v>
      </c>
      <c r="E19" s="87">
        <f>_xll.PICalcVal(E$6,$A19,$A20,"average", 1, 0,"gramercypi1")</f>
        <v>175.31280427638339</v>
      </c>
      <c r="F19" s="87">
        <f>_xll.PICalcVal(F$6,$A19,$A20,"average", 1, 0,"gramercypi1")</f>
        <v>187.57737408913323</v>
      </c>
      <c r="G19" s="87">
        <f>IF(_xll.PICalcVal($G$4,$A19,$A20, "average",1,0,"gramercypi1")&gt;_xll.PICalcVal($H$4,$A19,$A20,"average",1, 0,"gramercypi1"),_xll.PICalcVal($G$4,$A19,$A20, "average",1,0,"gramercypi1"),_xll.PICalcVal($H$4,$A19,$A20,"average",1, 0,"gramercypi1"))</f>
        <v>221.09348803852154</v>
      </c>
      <c r="H19" s="87">
        <f>_xll.PICalcVal(H$6,$A19,$A20,"average", 1, 0,"gramercypi1")</f>
        <v>210.45793816971084</v>
      </c>
      <c r="I19" s="87">
        <f>_xll.PICalcVal(I$6,$A19,$A20,"average", 1, 0,"gramercypi1")</f>
        <v>188.30988203573025</v>
      </c>
      <c r="J19" s="87">
        <f>_xll.PICalcVal(J$6,$A19,$A20,"average", 1, 0,"gramercypi1")</f>
        <v>181.6318618276606</v>
      </c>
      <c r="K19" s="87">
        <f>_xll.PICalcVal(K$6,$A19,$A20,"average", 1, 0,"gramercypi1")</f>
        <v>172.11812032696852</v>
      </c>
      <c r="L19" s="87">
        <f>_xll.PICalcVal(L$6,$A19,$A20,"average", 1, 0,"gramercypi1")</f>
        <v>21.192810486666332</v>
      </c>
      <c r="M19" s="87">
        <f>_xll.PICalcVal(M$6,$A19,$A20,"average", 1, 0,"gramercypi1")</f>
        <v>555.80441061862939</v>
      </c>
      <c r="N19" s="87">
        <f>_xll.PICalcVal(N$6,$A19,$A20,"average", 1, 0,"gramercypi1")</f>
        <v>3878.45</v>
      </c>
      <c r="O19" s="87">
        <f>_xll.PICalcVal(O$6,$A19,$A20,"average", 1, 0,"gramercypi1")</f>
        <v>104.23827066490389</v>
      </c>
      <c r="P19" s="87">
        <f>_xll.PICalcVal(P$6,$A19,$A20,"average", 1, 0,"gramercypi1")</f>
        <v>157.68723895731981</v>
      </c>
      <c r="Q19" s="87">
        <f>_xll.PICalcVal(Q$6,$A19,$A20,"average", 1, 0,"gramercypi1")</f>
        <v>171.49406702215501</v>
      </c>
      <c r="R19" s="97">
        <f>_xll.PICalcVal(R$6,$A19,$A20,"average", 1, 0,"gramercypi1")</f>
        <v>183.44968464313891</v>
      </c>
    </row>
    <row r="20" spans="1:18" x14ac:dyDescent="0.2">
      <c r="A20" s="127">
        <f t="shared" si="0"/>
        <v>43318.541666666635</v>
      </c>
      <c r="B20" s="100">
        <f>_xll.PICalcVal(B$6,$A20,$A21,"average", 1, 0,"gramercypi1")</f>
        <v>145.53739894106641</v>
      </c>
      <c r="C20" s="87">
        <f>_xll.PICalcVal(C$6,$A20,$A21,"average", 1, 0,"gramercypi1")</f>
        <v>114.68152400479804</v>
      </c>
      <c r="D20" s="87">
        <f>_xll.PICalcVal(D$6,$A20,$A21,"average", 1, 0,"gramercypi1")</f>
        <v>161.38242106583306</v>
      </c>
      <c r="E20" s="87">
        <f>_xll.PICalcVal(E$6,$A20,$A21,"average", 1, 0,"gramercypi1")</f>
        <v>173.71722293321471</v>
      </c>
      <c r="F20" s="87">
        <f>_xll.PICalcVal(F$6,$A20,$A21,"average", 1, 0,"gramercypi1")</f>
        <v>186.38242106583306</v>
      </c>
      <c r="G20" s="87">
        <f>IF(_xll.PICalcVal($G$4,$A20,$A21, "average",1,0,"gramercypi1")&gt;_xll.PICalcVal($H$4,$A20,$A21,"average",1, 0,"gramercypi1"),_xll.PICalcVal($G$4,$A20,$A21, "average",1,0,"gramercypi1"),_xll.PICalcVal($H$4,$A20,$A21,"average",1, 0,"gramercypi1"))</f>
        <v>220.90170683988259</v>
      </c>
      <c r="H20" s="87">
        <f>_xll.PICalcVal(H$6,$A20,$A21,"average", 1, 0,"gramercypi1")</f>
        <v>209.38242106583306</v>
      </c>
      <c r="I20" s="87">
        <f>_xll.PICalcVal(I$6,$A20,$A21,"average", 1, 0,"gramercypi1")</f>
        <v>186.48833431552691</v>
      </c>
      <c r="J20" s="87">
        <f>_xll.PICalcVal(J$6,$A20,$A21,"average", 1, 0,"gramercypi1")</f>
        <v>180.47580871491866</v>
      </c>
      <c r="K20" s="87">
        <f>_xll.PICalcVal(K$6,$A20,$A21,"average", 1, 0,"gramercypi1")</f>
        <v>170.58294514630938</v>
      </c>
      <c r="L20" s="87">
        <f>_xll.PICalcVal(L$6,$A20,$A21,"average", 1, 0,"gramercypi1")</f>
        <v>21.61649070264162</v>
      </c>
      <c r="M20" s="87">
        <f>_xll.PICalcVal(M$6,$A20,$A21,"average", 1, 0,"gramercypi1")</f>
        <v>1533.218181230578</v>
      </c>
      <c r="N20" s="87">
        <f>_xll.PICalcVal(N$6,$A20,$A21,"average", 1, 0,"gramercypi1")</f>
        <v>3883</v>
      </c>
      <c r="O20" s="87">
        <f>_xll.PICalcVal(O$6,$A20,$A21,"average", 1, 0,"gramercypi1")</f>
        <v>104.36419329746855</v>
      </c>
      <c r="P20" s="87">
        <f>_xll.PICalcVal(P$6,$A20,$A21,"average", 1, 0,"gramercypi1")</f>
        <v>156.45128241521616</v>
      </c>
      <c r="Q20" s="87">
        <f>_xll.PICalcVal(Q$6,$A20,$A21,"average", 1, 0,"gramercypi1")</f>
        <v>169.40279915754763</v>
      </c>
      <c r="R20" s="97">
        <f>_xll.PICalcVal(R$6,$A20,$A21,"average", 1, 0,"gramercypi1")</f>
        <v>181.65298569884658</v>
      </c>
    </row>
    <row r="21" spans="1:18" x14ac:dyDescent="0.2">
      <c r="A21" s="127">
        <f t="shared" si="0"/>
        <v>43318.583333333299</v>
      </c>
      <c r="B21" s="100">
        <f>_xll.PICalcVal(B$6,$A21,$A22,"average", 1, 0,"gramercypi1")</f>
        <v>145.91347878587482</v>
      </c>
      <c r="C21" s="87">
        <f>_xll.PICalcVal(C$6,$A21,$A22,"average", 1, 0,"gramercypi1")</f>
        <v>114.51316642794086</v>
      </c>
      <c r="D21" s="87">
        <f>_xll.PICalcVal(D$6,$A21,$A22,"average", 1, 0,"gramercypi1")</f>
        <v>159.89464163831246</v>
      </c>
      <c r="E21" s="87">
        <f>_xll.PICalcVal(E$6,$A21,$A22,"average", 1, 0,"gramercypi1")</f>
        <v>171.83171278822894</v>
      </c>
      <c r="F21" s="87">
        <f>_xll.PICalcVal(F$6,$A21,$A22,"average", 1, 0,"gramercypi1")</f>
        <v>184.84436358162995</v>
      </c>
      <c r="G21" s="87">
        <f>IF(_xll.PICalcVal($G$4,$A21,$A22, "average",1,0,"gramercypi1")&gt;_xll.PICalcVal($H$4,$A21,$A22,"average",1, 0,"gramercypi1"),_xll.PICalcVal($G$4,$A21,$A22, "average",1,0,"gramercypi1"),_xll.PICalcVal($H$4,$A21,$A22,"average",1, 0,"gramercypi1"))</f>
        <v>220.45879859472291</v>
      </c>
      <c r="H21" s="87">
        <f>_xll.PICalcVal(H$6,$A21,$A22,"average", 1, 0,"gramercypi1")</f>
        <v>206.29174615331152</v>
      </c>
      <c r="I21" s="87">
        <f>_xll.PICalcVal(I$6,$A21,$A22,"average", 1, 0,"gramercypi1")</f>
        <v>183.8160583077522</v>
      </c>
      <c r="J21" s="87">
        <f>_xll.PICalcVal(J$6,$A21,$A22,"average", 1, 0,"gramercypi1")</f>
        <v>178.74812890317406</v>
      </c>
      <c r="K21" s="87">
        <f>_xll.PICalcVal(K$6,$A21,$A22,"average", 1, 0,"gramercypi1")</f>
        <v>166.8275069098039</v>
      </c>
      <c r="L21" s="87">
        <f>_xll.PICalcVal(L$6,$A21,$A22,"average", 1, 0,"gramercypi1")</f>
        <v>22.474713397867376</v>
      </c>
      <c r="M21" s="87">
        <f>_xll.PICalcVal(M$6,$A21,$A22,"average", 1, 0,"gramercypi1")</f>
        <v>2319.2735262300839</v>
      </c>
      <c r="N21" s="87">
        <f>_xll.PICalcVal(N$6,$A21,$A22,"average", 1, 0,"gramercypi1")</f>
        <v>3513.05</v>
      </c>
      <c r="O21" s="87">
        <f>_xll.PICalcVal(O$6,$A21,$A22,"average", 1, 0,"gramercypi1")</f>
        <v>104.4901159300332</v>
      </c>
      <c r="P21" s="87">
        <f>_xll.PICalcVal(P$6,$A21,$A22,"average", 1, 0,"gramercypi1")</f>
        <v>154.14156075295946</v>
      </c>
      <c r="Q21" s="87">
        <f>_xll.PICalcVal(Q$6,$A21,$A22,"average", 1, 0,"gramercypi1")</f>
        <v>166.29257424432242</v>
      </c>
      <c r="R21" s="97">
        <f>_xll.PICalcVal(R$6,$A21,$A22,"average", 1, 0,"gramercypi1")</f>
        <v>179.10341211288835</v>
      </c>
    </row>
    <row r="22" spans="1:18" x14ac:dyDescent="0.2">
      <c r="A22" s="127">
        <f>A21+(1/24)</f>
        <v>43318.624999999964</v>
      </c>
      <c r="B22" s="100">
        <f>_xll.PICalcVal(B$6,$A22,$A23,"average", 1, 0,"gramercypi1")</f>
        <v>146.20070621378184</v>
      </c>
      <c r="C22" s="87">
        <f>_xll.PICalcVal(C$6,$A22,$A23,"average", 1, 0,"gramercypi1")</f>
        <v>114.34480885108368</v>
      </c>
      <c r="D22" s="87">
        <f>_xll.PICalcVal(D$6,$A22,$A23,"average", 1, 0,"gramercypi1")</f>
        <v>157.5455475208289</v>
      </c>
      <c r="E22" s="87">
        <f>_xll.PICalcVal(E$6,$A22,$A23,"average", 1, 0,"gramercypi1")</f>
        <v>168.00965283719836</v>
      </c>
      <c r="F22" s="87">
        <f>_xll.PICalcVal(F$6,$A22,$A23,"average", 1, 0,"gramercypi1")</f>
        <v>181.07500522889615</v>
      </c>
      <c r="G22" s="87">
        <f>IF(_xll.PICalcVal($G$4,$A22,$A23, "average",1,0,"gramercypi1")&gt;_xll.PICalcVal($H$4,$A22,$A23,"average",1, 0,"gramercypi1"),_xll.PICalcVal($G$4,$A22,$A23, "average",1,0,"gramercypi1"),_xll.PICalcVal($H$4,$A22,$A23,"average",1, 0,"gramercypi1"))</f>
        <v>219.01509809435046</v>
      </c>
      <c r="H22" s="87">
        <f>_xll.PICalcVal(H$6,$A22,$A23,"average", 1, 0,"gramercypi1")</f>
        <v>201.25018538663016</v>
      </c>
      <c r="I22" s="87">
        <f>_xll.PICalcVal(I$6,$A22,$A23,"average", 1, 0,"gramercypi1")</f>
        <v>175.90665071877709</v>
      </c>
      <c r="J22" s="87">
        <f>_xll.PICalcVal(J$6,$A22,$A23,"average", 1, 0,"gramercypi1")</f>
        <v>171.02406958589228</v>
      </c>
      <c r="K22" s="87">
        <f>_xll.PICalcVal(K$6,$A22,$A23,"average", 1, 0,"gramercypi1")</f>
        <v>164.07904440215711</v>
      </c>
      <c r="L22" s="87">
        <f>_xll.PICalcVal(L$6,$A22,$A23,"average", 1, 0,"gramercypi1")</f>
        <v>22.961293051132134</v>
      </c>
      <c r="M22" s="87">
        <f>_xll.PICalcVal(M$6,$A22,$A23,"average", 1, 0,"gramercypi1")</f>
        <v>2399.3451698185595</v>
      </c>
      <c r="N22" s="87">
        <f>_xll.PICalcVal(N$6,$A22,$A23,"average", 1, 0,"gramercypi1")</f>
        <v>3582.5666666666666</v>
      </c>
      <c r="O22" s="87">
        <f>_xll.PICalcVal(O$6,$A22,$A23,"average", 1, 0,"gramercypi1")</f>
        <v>104.61603856259785</v>
      </c>
      <c r="P22" s="87">
        <f>_xll.PICalcVal(P$6,$A22,$A23,"average", 1, 0,"gramercypi1")</f>
        <v>150.11509509864405</v>
      </c>
      <c r="Q22" s="87">
        <f>_xll.PICalcVal(Q$6,$A22,$A23,"average", 1, 0,"gramercypi1")</f>
        <v>156.20979068736301</v>
      </c>
      <c r="R22" s="97">
        <f>_xll.PICalcVal(R$6,$A22,$A23,"average", 1, 0,"gramercypi1")</f>
        <v>163.29515716279178</v>
      </c>
    </row>
    <row r="23" spans="1:18" x14ac:dyDescent="0.2">
      <c r="A23" s="127">
        <f t="shared" si="0"/>
        <v>43318.666666666628</v>
      </c>
      <c r="B23" s="100">
        <f>_xll.PICalcVal(B$6,$A23,$A24,"average", 1, 0,"gramercypi1")</f>
        <v>146.45584411538096</v>
      </c>
      <c r="C23" s="87">
        <f>_xll.PICalcVal(C$6,$A23,$A24,"average", 1, 0,"gramercypi1")</f>
        <v>114.17645127422649</v>
      </c>
      <c r="D23" s="87">
        <f>_xll.PICalcVal(D$6,$A23,$A24,"average", 1, 0,"gramercypi1")</f>
        <v>161.07821850003288</v>
      </c>
      <c r="E23" s="87">
        <f>_xll.PICalcVal(E$6,$A23,$A24,"average", 1, 0,"gramercypi1")</f>
        <v>172.23947111765543</v>
      </c>
      <c r="F23" s="87">
        <f>_xll.PICalcVal(F$6,$A23,$A24,"average", 1, 0,"gramercypi1")</f>
        <v>185.16108244377932</v>
      </c>
      <c r="G23" s="87">
        <f>IF(_xll.PICalcVal($G$4,$A23,$A24, "average",1,0,"gramercypi1")&gt;_xll.PICalcVal($H$4,$A23,$A24,"average",1, 0,"gramercypi1"),_xll.PICalcVal($G$4,$A23,$A24, "average",1,0,"gramercypi1"),_xll.PICalcVal($H$4,$A23,$A24,"average",1, 0,"gramercypi1"))</f>
        <v>218.85368223807438</v>
      </c>
      <c r="H23" s="87">
        <f>_xll.PICalcVal(H$6,$A23,$A24,"average", 1, 0,"gramercypi1")</f>
        <v>206.01504154271225</v>
      </c>
      <c r="I23" s="87">
        <f>_xll.PICalcVal(I$6,$A23,$A24,"average", 1, 0,"gramercypi1")</f>
        <v>177.84064671707094</v>
      </c>
      <c r="J23" s="87">
        <f>_xll.PICalcVal(J$6,$A23,$A24,"average", 1, 0,"gramercypi1")</f>
        <v>172.71955940437999</v>
      </c>
      <c r="K23" s="87">
        <f>_xll.PICalcVal(K$6,$A23,$A24,"average", 1, 0,"gramercypi1")</f>
        <v>169.05329811413756</v>
      </c>
      <c r="L23" s="87">
        <f>_xll.PICalcVal(L$6,$A23,$A24,"average", 1, 0,"gramercypi1")</f>
        <v>21.985796129536716</v>
      </c>
      <c r="M23" s="87">
        <f>_xll.PICalcVal(M$6,$A23,$A24,"average", 1, 0,"gramercypi1")</f>
        <v>2500.778763157658</v>
      </c>
      <c r="N23" s="87">
        <f>_xll.PICalcVal(N$6,$A23,$A24,"average", 1, 0,"gramercypi1")</f>
        <v>3823.0666666666666</v>
      </c>
      <c r="O23" s="87">
        <f>_xll.PICalcVal(O$6,$A23,$A24,"average", 1, 0,"gramercypi1")</f>
        <v>104.74196119516252</v>
      </c>
      <c r="P23" s="87">
        <f>_xll.PICalcVal(P$6,$A23,$A24,"average", 1, 0,"gramercypi1")</f>
        <v>157.03612913158105</v>
      </c>
      <c r="Q23" s="87">
        <f>_xll.PICalcVal(Q$6,$A23,$A24,"average", 1, 0,"gramercypi1")</f>
        <v>168.85524449012632</v>
      </c>
      <c r="R23" s="97">
        <f>_xll.PICalcVal(R$6,$A23,$A24,"average", 1, 0,"gramercypi1")</f>
        <v>180.6527520773146</v>
      </c>
    </row>
    <row r="24" spans="1:18" x14ac:dyDescent="0.2">
      <c r="A24" s="127">
        <f t="shared" si="0"/>
        <v>43318.708333333292</v>
      </c>
      <c r="B24" s="100">
        <f>_xll.PICalcVal(B$6,$A24,$A25,"average", 1, 0,"gramercypi1")</f>
        <v>146.7109820169801</v>
      </c>
      <c r="C24" s="87">
        <f>_xll.PICalcVal(C$6,$A24,$A25,"average", 1, 0,"gramercypi1")</f>
        <v>113.99681213603833</v>
      </c>
      <c r="D24" s="87">
        <f>_xll.PICalcVal(D$6,$A24,$A25,"average", 1, 0,"gramercypi1")</f>
        <v>159.65310185915001</v>
      </c>
      <c r="E24" s="87">
        <f>_xll.PICalcVal(E$6,$A24,$A25,"average", 1, 0,"gramercypi1")</f>
        <v>171</v>
      </c>
      <c r="F24" s="87">
        <f>_xll.PICalcVal(F$6,$A24,$A25,"average", 1, 0,"gramercypi1")</f>
        <v>184.11925144561988</v>
      </c>
      <c r="G24" s="87">
        <f>IF(_xll.PICalcVal($G$4,$A24,$A25, "average",1,0,"gramercypi1")&gt;_xll.PICalcVal($H$4,$A24,$A25,"average",1, 0,"gramercypi1"),_xll.PICalcVal($G$4,$A24,$A25, "average",1,0,"gramercypi1"),_xll.PICalcVal($H$4,$A24,$A25,"average",1, 0,"gramercypi1"))</f>
        <v>218.7204663115246</v>
      </c>
      <c r="H24" s="87">
        <f>_xll.PICalcVal(H$6,$A24,$A25,"average", 1, 0,"gramercypi1")</f>
        <v>203.2959811571375</v>
      </c>
      <c r="I24" s="87">
        <f>_xll.PICalcVal(I$6,$A24,$A25,"average", 1, 0,"gramercypi1")</f>
        <v>178</v>
      </c>
      <c r="J24" s="87">
        <f>_xll.PICalcVal(J$6,$A24,$A25,"average", 1, 0,"gramercypi1")</f>
        <v>173</v>
      </c>
      <c r="K24" s="87">
        <f>_xll.PICalcVal(K$6,$A24,$A25,"average", 1, 0,"gramercypi1")</f>
        <v>167</v>
      </c>
      <c r="L24" s="87">
        <f>_xll.PICalcVal(L$6,$A24,$A25,"average", 1, 0,"gramercypi1")</f>
        <v>22.595554617207952</v>
      </c>
      <c r="M24" s="87">
        <f>_xll.PICalcVal(M$6,$A24,$A25,"average", 1, 0,"gramercypi1")</f>
        <v>2750.3290548790578</v>
      </c>
      <c r="N24" s="87">
        <f>_xll.PICalcVal(N$6,$A24,$A25,"average", 1, 0,"gramercypi1")</f>
        <v>3784.25</v>
      </c>
      <c r="O24" s="87">
        <f>_xll.PICalcVal(O$6,$A24,$A25,"average", 1, 0,"gramercypi1")</f>
        <v>104.86788382772717</v>
      </c>
      <c r="P24" s="87">
        <f>_xll.PICalcVal(P$6,$A24,$A25,"average", 1, 0,"gramercypi1")</f>
        <v>155.04245744074476</v>
      </c>
      <c r="Q24" s="87">
        <f>_xll.PICalcVal(Q$6,$A24,$A25,"average", 1, 0,"gramercypi1")</f>
        <v>164.22728737636643</v>
      </c>
      <c r="R24" s="97">
        <f>_xll.PICalcVal(R$6,$A24,$A25,"average", 1, 0,"gramercypi1")</f>
        <v>174.98000807656183</v>
      </c>
    </row>
    <row r="25" spans="1:18" x14ac:dyDescent="0.2">
      <c r="A25" s="127">
        <f t="shared" si="0"/>
        <v>43318.749999999956</v>
      </c>
      <c r="B25" s="100">
        <f>_xll.PICalcVal(B$6,$A25,$A26,"average", 1, 0,"gramercypi1")</f>
        <v>146.96611991857921</v>
      </c>
      <c r="C25" s="87">
        <f>_xll.PICalcVal(C$6,$A25,$A26,"average", 1, 0,"gramercypi1")</f>
        <v>113.73457180661489</v>
      </c>
      <c r="D25" s="87">
        <f>_xll.PICalcVal(D$6,$A25,$A26,"average", 1, 0,"gramercypi1")</f>
        <v>160.80802081662443</v>
      </c>
      <c r="E25" s="87">
        <f>_xll.PICalcVal(E$6,$A25,$A26,"average", 1, 0,"gramercypi1")</f>
        <v>172.63524166107177</v>
      </c>
      <c r="F25" s="87">
        <f>_xll.PICalcVal(F$6,$A25,$A26,"average", 1, 0,"gramercypi1")</f>
        <v>184.40085561096612</v>
      </c>
      <c r="G25" s="87">
        <f>IF(_xll.PICalcVal($G$4,$A25,$A26, "average",1,0,"gramercypi1")&gt;_xll.PICalcVal($H$4,$A25,$A26,"average",1, 0,"gramercypi1"),_xll.PICalcVal($G$4,$A25,$A26, "average",1,0,"gramercypi1"),_xll.PICalcVal($H$4,$A25,$A26,"average",1, 0,"gramercypi1"))</f>
        <v>218.47964014247958</v>
      </c>
      <c r="H25" s="87">
        <f>_xll.PICalcVal(H$6,$A25,$A26,"average", 1, 0,"gramercypi1")</f>
        <v>204.44412999471029</v>
      </c>
      <c r="I25" s="87">
        <f>_xll.PICalcVal(I$6,$A25,$A26,"average", 1, 0,"gramercypi1")</f>
        <v>178.21610600432581</v>
      </c>
      <c r="J25" s="87">
        <f>_xll.PICalcVal(J$6,$A25,$A26,"average", 1, 0,"gramercypi1")</f>
        <v>173.05227035294072</v>
      </c>
      <c r="K25" s="87">
        <f>_xll.PICalcVal(K$6,$A25,$A26,"average", 1, 0,"gramercypi1")</f>
        <v>167.94135360717775</v>
      </c>
      <c r="L25" s="87">
        <f>_xll.PICalcVal(L$6,$A25,$A26,"average", 1, 0,"gramercypi1")</f>
        <v>22.230808785164758</v>
      </c>
      <c r="M25" s="87">
        <f>_xll.PICalcVal(M$6,$A25,$A26,"average", 1, 0,"gramercypi1")</f>
        <v>2759.5618052549062</v>
      </c>
      <c r="N25" s="87">
        <f>_xll.PICalcVal(N$6,$A25,$A26,"average", 1, 0,"gramercypi1")</f>
        <v>3822.0166666666669</v>
      </c>
      <c r="O25" s="87">
        <f>_xll.PICalcVal(O$6,$A25,$A26,"average", 1, 0,"gramercypi1")</f>
        <v>104.96804920967979</v>
      </c>
      <c r="P25" s="87">
        <f>_xll.PICalcVal(P$6,$A25,$A26,"average", 1, 0,"gramercypi1")</f>
        <v>155.00768612626186</v>
      </c>
      <c r="Q25" s="87">
        <f>_xll.PICalcVal(Q$6,$A25,$A26,"average", 1, 0,"gramercypi1")</f>
        <v>165.34204936208158</v>
      </c>
      <c r="R25" s="97">
        <f>_xll.PICalcVal(R$6,$A25,$A26,"average", 1, 0,"gramercypi1")</f>
        <v>175.67112595452204</v>
      </c>
    </row>
    <row r="26" spans="1:18" x14ac:dyDescent="0.2">
      <c r="A26" s="127">
        <f t="shared" si="0"/>
        <v>43318.791666666621</v>
      </c>
      <c r="B26" s="100">
        <f>_xll.PICalcVal(B$6,$A26,$A27,"average", 1, 0,"gramercypi1")</f>
        <v>147.22125782017838</v>
      </c>
      <c r="C26" s="87">
        <f>_xll.PICalcVal(C$6,$A26,$A27,"average", 1, 0,"gramercypi1")</f>
        <v>113.45573887426173</v>
      </c>
      <c r="D26" s="87">
        <f>_xll.PICalcVal(D$6,$A26,$A27,"average", 1, 0,"gramercypi1")</f>
        <v>161.25488805765542</v>
      </c>
      <c r="E26" s="87">
        <f>_xll.PICalcVal(E$6,$A26,$A27,"average", 1, 0,"gramercypi1")</f>
        <v>173.01298229063698</v>
      </c>
      <c r="F26" s="87">
        <f>_xll.PICalcVal(F$6,$A26,$A27,"average", 1, 0,"gramercypi1")</f>
        <v>185.39447466237081</v>
      </c>
      <c r="G26" s="87">
        <f>IF(_xll.PICalcVal($G$4,$A26,$A27, "average",1,0,"gramercypi1")&gt;_xll.PICalcVal($H$4,$A26,$A27,"average",1, 0,"gramercypi1"),_xll.PICalcVal($G$4,$A26,$A27, "average",1,0,"gramercypi1"),_xll.PICalcVal($H$4,$A26,$A27,"average",1, 0,"gramercypi1"))</f>
        <v>218.74318654726034</v>
      </c>
      <c r="H26" s="87">
        <f>_xll.PICalcVal(H$6,$A26,$A27,"average", 1, 0,"gramercypi1")</f>
        <v>205.48718143070445</v>
      </c>
      <c r="I26" s="87">
        <f>_xll.PICalcVal(I$6,$A26,$A27,"average", 1, 0,"gramercypi1")</f>
        <v>179.78070826817935</v>
      </c>
      <c r="J26" s="87">
        <f>_xll.PICalcVal(J$6,$A26,$A27,"average", 1, 0,"gramercypi1")</f>
        <v>174.33287559352149</v>
      </c>
      <c r="K26" s="87">
        <f>_xll.PICalcVal(K$6,$A26,$A27,"average", 1, 0,"gramercypi1")</f>
        <v>169</v>
      </c>
      <c r="L26" s="87">
        <f>_xll.PICalcVal(L$6,$A26,$A27,"average", 1, 0,"gramercypi1")</f>
        <v>22.083438918044877</v>
      </c>
      <c r="M26" s="87">
        <f>_xll.PICalcVal(M$6,$A26,$A27,"average", 1, 0,"gramercypi1")</f>
        <v>2811.1608456672334</v>
      </c>
      <c r="N26" s="87">
        <f>_xll.PICalcVal(N$6,$A26,$A27,"average", 1, 0,"gramercypi1")</f>
        <v>3821.2333333333331</v>
      </c>
      <c r="O26" s="87">
        <f>_xll.PICalcVal(O$6,$A26,$A27,"average", 1, 0,"gramercypi1")</f>
        <v>104.87872233702292</v>
      </c>
      <c r="P26" s="87">
        <f>_xll.PICalcVal(P$6,$A26,$A27,"average", 1, 0,"gramercypi1")</f>
        <v>157.37819171096174</v>
      </c>
      <c r="Q26" s="87">
        <f>_xll.PICalcVal(Q$6,$A26,$A27,"average", 1, 0,"gramercypi1")</f>
        <v>168.4232685297988</v>
      </c>
      <c r="R26" s="97">
        <f>_xll.PICalcVal(R$6,$A26,$A27,"average", 1, 0,"gramercypi1")</f>
        <v>179</v>
      </c>
    </row>
    <row r="27" spans="1:18" x14ac:dyDescent="0.2">
      <c r="A27" s="127">
        <f t="shared" si="0"/>
        <v>43318.833333333285</v>
      </c>
      <c r="B27" s="100">
        <f>_xll.PICalcVal(B$6,$A27,$A28,"average", 1, 0,"gramercypi1")</f>
        <v>147.47639572177752</v>
      </c>
      <c r="C27" s="87">
        <f>_xll.PICalcVal(C$6,$A27,$A28,"average", 1, 0,"gramercypi1")</f>
        <v>113.17690594190854</v>
      </c>
      <c r="D27" s="87">
        <f>_xll.PICalcVal(D$6,$A27,$A28,"average", 1, 0,"gramercypi1")</f>
        <v>162.52814555067519</v>
      </c>
      <c r="E27" s="87">
        <f>_xll.PICalcVal(E$6,$A27,$A28,"average", 1, 0,"gramercypi1")</f>
        <v>174.7136736800424</v>
      </c>
      <c r="F27" s="87">
        <f>_xll.PICalcVal(F$6,$A27,$A28,"average", 1, 0,"gramercypi1")</f>
        <v>186.81930109975059</v>
      </c>
      <c r="G27" s="87">
        <f>IF(_xll.PICalcVal($G$4,$A27,$A28, "average",1,0,"gramercypi1")&gt;_xll.PICalcVal($H$4,$A27,$A28,"average",1, 0,"gramercypi1"),_xll.PICalcVal($G$4,$A27,$A28, "average",1,0,"gramercypi1"),_xll.PICalcVal($H$4,$A27,$A28,"average",1, 0,"gramercypi1"))</f>
        <v>219.09534998848343</v>
      </c>
      <c r="H27" s="87">
        <f>_xll.PICalcVal(H$6,$A27,$A28,"average", 1, 0,"gramercypi1")</f>
        <v>206.22834273413116</v>
      </c>
      <c r="I27" s="87">
        <f>_xll.PICalcVal(I$6,$A27,$A28,"average", 1, 0,"gramercypi1")</f>
        <v>180.97149530797986</v>
      </c>
      <c r="J27" s="87">
        <f>_xll.PICalcVal(J$6,$A27,$A28,"average", 1, 0,"gramercypi1")</f>
        <v>174.84506558598355</v>
      </c>
      <c r="K27" s="87">
        <f>_xll.PICalcVal(K$6,$A27,$A28,"average", 1, 0,"gramercypi1")</f>
        <v>167.64546256480247</v>
      </c>
      <c r="L27" s="87">
        <f>_xll.PICalcVal(L$6,$A27,$A28,"average", 1, 0,"gramercypi1")</f>
        <v>22.285399956327904</v>
      </c>
      <c r="M27" s="87">
        <f>_xll.PICalcVal(M$6,$A27,$A28,"average", 1, 0,"gramercypi1")</f>
        <v>2512.0297341558667</v>
      </c>
      <c r="N27" s="87">
        <f>_xll.PICalcVal(N$6,$A27,$A28,"average", 1, 0,"gramercypi1")</f>
        <v>3515.6</v>
      </c>
      <c r="O27" s="87">
        <f>_xll.PICalcVal(O$6,$A27,$A28,"average", 1, 0,"gramercypi1")</f>
        <v>104.75117102740373</v>
      </c>
      <c r="P27" s="87">
        <f>_xll.PICalcVal(P$6,$A27,$A28,"average", 1, 0,"gramercypi1")</f>
        <v>159.02376987006591</v>
      </c>
      <c r="Q27" s="87">
        <f>_xll.PICalcVal(Q$6,$A27,$A28,"average", 1, 0,"gramercypi1")</f>
        <v>171.19239105955072</v>
      </c>
      <c r="R27" s="97">
        <f>_xll.PICalcVal(R$6,$A27,$A28,"average", 1, 0,"gramercypi1")</f>
        <v>181.9553145620558</v>
      </c>
    </row>
    <row r="28" spans="1:18" x14ac:dyDescent="0.2">
      <c r="A28" s="127">
        <f t="shared" si="0"/>
        <v>43318.874999999949</v>
      </c>
      <c r="B28" s="100">
        <f>_xll.PICalcVal(B$6,$A28,$A29,"average", 1, 0,"gramercypi1")</f>
        <v>147.73153362337663</v>
      </c>
      <c r="C28" s="87">
        <f>_xll.PICalcVal(C$6,$A28,$A29,"average", 1, 0,"gramercypi1")</f>
        <v>112.89807300955536</v>
      </c>
      <c r="D28" s="87">
        <f>_xll.PICalcVal(D$6,$A28,$A29,"average", 1, 0,"gramercypi1")</f>
        <v>162.30851403130424</v>
      </c>
      <c r="E28" s="87">
        <f>_xll.PICalcVal(E$6,$A28,$A29,"average", 1, 0,"gramercypi1")</f>
        <v>174.99437918345134</v>
      </c>
      <c r="F28" s="87">
        <f>_xll.PICalcVal(F$6,$A28,$A29,"average", 1, 0,"gramercypi1")</f>
        <v>187.08645987404716</v>
      </c>
      <c r="G28" s="87">
        <f>IF(_xll.PICalcVal($G$4,$A28,$A29, "average",1,0,"gramercypi1")&gt;_xll.PICalcVal($H$4,$A28,$A29,"average",1, 0,"gramercypi1"),_xll.PICalcVal($G$4,$A28,$A29, "average",1,0,"gramercypi1"),_xll.PICalcVal($H$4,$A28,$A29,"average",1, 0,"gramercypi1"))</f>
        <v>219.21386975066622</v>
      </c>
      <c r="H28" s="87">
        <f>_xll.PICalcVal(H$6,$A28,$A29,"average", 1, 0,"gramercypi1")</f>
        <v>205.10673401361137</v>
      </c>
      <c r="I28" s="87">
        <f>_xll.PICalcVal(I$6,$A28,$A29,"average", 1, 0,"gramercypi1")</f>
        <v>181</v>
      </c>
      <c r="J28" s="87">
        <f>_xll.PICalcVal(J$6,$A28,$A29,"average", 1, 0,"gramercypi1")</f>
        <v>174.15547987316228</v>
      </c>
      <c r="K28" s="87">
        <f>_xll.PICalcVal(K$6,$A28,$A29,"average", 1, 0,"gramercypi1")</f>
        <v>168.7744896197093</v>
      </c>
      <c r="L28" s="87">
        <f>_xll.PICalcVal(L$6,$A28,$A29,"average", 1, 0,"gramercypi1")</f>
        <v>22.247843277020834</v>
      </c>
      <c r="M28" s="87">
        <f>_xll.PICalcVal(M$6,$A28,$A29,"average", 1, 0,"gramercypi1")</f>
        <v>1139.3534713525009</v>
      </c>
      <c r="N28" s="87">
        <f>_xll.PICalcVal(N$6,$A28,$A29,"average", 1, 0,"gramercypi1")</f>
        <v>3378.6833333333334</v>
      </c>
      <c r="O28" s="87">
        <f>_xll.PICalcVal(O$6,$A28,$A29,"average", 1, 0,"gramercypi1")</f>
        <v>104.62361971778452</v>
      </c>
      <c r="P28" s="87">
        <f>_xll.PICalcVal(P$6,$A28,$A29,"average", 1, 0,"gramercypi1")</f>
        <v>162.24868008485717</v>
      </c>
      <c r="Q28" s="87">
        <f>_xll.PICalcVal(Q$6,$A28,$A29,"average", 1, 0,"gramercypi1")</f>
        <v>176.25440586371744</v>
      </c>
      <c r="R28" s="97">
        <f>_xll.PICalcVal(R$6,$A28,$A29,"average", 1, 0,"gramercypi1")</f>
        <v>187.20216445287068</v>
      </c>
    </row>
    <row r="29" spans="1:18" x14ac:dyDescent="0.2">
      <c r="A29" s="127">
        <f t="shared" si="0"/>
        <v>43318.916666666613</v>
      </c>
      <c r="B29" s="100">
        <f>_xll.PICalcVal(B$6,$A29,$A30,"average", 1, 0,"gramercypi1")</f>
        <v>147.96109538316469</v>
      </c>
      <c r="C29" s="87">
        <f>_xll.PICalcVal(C$6,$A29,$A30,"average", 1, 0,"gramercypi1")</f>
        <v>112.61924007720219</v>
      </c>
      <c r="D29" s="87">
        <f>_xll.PICalcVal(D$6,$A29,$A30,"average", 1, 0,"gramercypi1")</f>
        <v>162</v>
      </c>
      <c r="E29" s="87">
        <f>_xll.PICalcVal(E$6,$A29,$A30,"average", 1, 0,"gramercypi1")</f>
        <v>174</v>
      </c>
      <c r="F29" s="87">
        <f>_xll.PICalcVal(F$6,$A29,$A30,"average", 1, 0,"gramercypi1")</f>
        <v>186</v>
      </c>
      <c r="G29" s="87">
        <f>IF(_xll.PICalcVal($G$4,$A29,$A30, "average",1,0,"gramercypi1")&gt;_xll.PICalcVal($H$4,$A29,$A30,"average",1, 0,"gramercypi1"),_xll.PICalcVal($G$4,$A29,$A30, "average",1,0,"gramercypi1"),_xll.PICalcVal($H$4,$A29,$A30,"average",1, 0,"gramercypi1"))</f>
        <v>219.92108282923274</v>
      </c>
      <c r="H29" s="87">
        <f>_xll.PICalcVal(H$6,$A29,$A30,"average", 1, 0,"gramercypi1")</f>
        <v>205.42501954631456</v>
      </c>
      <c r="I29" s="87">
        <f>_xll.PICalcVal(I$6,$A29,$A30,"average", 1, 0,"gramercypi1")</f>
        <v>181</v>
      </c>
      <c r="J29" s="87">
        <f>_xll.PICalcVal(J$6,$A29,$A30,"average", 1, 0,"gramercypi1")</f>
        <v>174.32201529299479</v>
      </c>
      <c r="K29" s="87">
        <f>_xll.PICalcVal(K$6,$A29,$A30,"average", 1, 0,"gramercypi1")</f>
        <v>168.42907798821869</v>
      </c>
      <c r="L29" s="87">
        <f>_xll.PICalcVal(L$6,$A29,$A30,"average", 1, 0,"gramercypi1")</f>
        <v>22.319817068731766</v>
      </c>
      <c r="M29" s="87">
        <f>_xll.PICalcVal(M$6,$A29,$A30,"average", 1, 0,"gramercypi1")</f>
        <v>947.12362597865206</v>
      </c>
      <c r="N29" s="87">
        <f>_xll.PICalcVal(N$6,$A29,$A30,"average", 1, 0,"gramercypi1")</f>
        <v>3753.0333333333333</v>
      </c>
      <c r="O29" s="87">
        <f>_xll.PICalcVal(O$6,$A29,$A30,"average", 1, 0,"gramercypi1")</f>
        <v>104.49606840816536</v>
      </c>
      <c r="P29" s="87">
        <f>_xll.PICalcVal(P$6,$A29,$A30,"average", 1, 0,"gramercypi1")</f>
        <v>160.72536411569303</v>
      </c>
      <c r="Q29" s="87">
        <f>_xll.PICalcVal(Q$6,$A29,$A30,"average", 1, 0,"gramercypi1")</f>
        <v>173.43902642966276</v>
      </c>
      <c r="R29" s="97">
        <f>_xll.PICalcVal(R$6,$A29,$A30,"average", 1, 0,"gramercypi1")</f>
        <v>184</v>
      </c>
    </row>
    <row r="30" spans="1:18" ht="13.5" thickBot="1" x14ac:dyDescent="0.25">
      <c r="A30" s="128">
        <f t="shared" si="0"/>
        <v>43318.958333333278</v>
      </c>
      <c r="B30" s="101">
        <f>_xll.PICalcVal(B$6,$A30,$A31,"average", 1, 0,"gramercypi1")</f>
        <v>148</v>
      </c>
      <c r="C30" s="92">
        <f>_xll.PICalcVal(C$6,$A30,$A31,"average", 1, 0,"gramercypi1")</f>
        <v>112.34040714484901</v>
      </c>
      <c r="D30" s="92">
        <f>_xll.PICalcVal(D$6,$A30,$A31,"average", 1, 0,"gramercypi1")</f>
        <v>162</v>
      </c>
      <c r="E30" s="92">
        <f>_xll.PICalcVal(E$6,$A30,$A31,"average", 1, 0,"gramercypi1")</f>
        <v>174</v>
      </c>
      <c r="F30" s="92">
        <f>_xll.PICalcVal(F$6,$A30,$A31,"average", 1, 0,"gramercypi1")</f>
        <v>186</v>
      </c>
      <c r="G30" s="92">
        <f>IF(_xll.PICalcVal($G$4,$A30,$A31, "average",1,0,"gramercypi1")&gt;_xll.PICalcVal($H$4,$A30,$A31,"average",1, 0,"gramercypi1"),_xll.PICalcVal($G$4,$A30,$A31, "average",1,0,"gramercypi1"),_xll.PICalcVal($H$4,$A30,$A31,"average",1, 0,"gramercypi1"))</f>
        <v>219.8361347792418</v>
      </c>
      <c r="H30" s="92">
        <f>_xll.PICalcVal(H$6,$A30,$A31,"average", 1, 0,"gramercypi1")</f>
        <v>205.74905237233892</v>
      </c>
      <c r="I30" s="92">
        <f>_xll.PICalcVal(I$6,$A30,$A31,"average", 1, 0,"gramercypi1")</f>
        <v>181</v>
      </c>
      <c r="J30" s="92">
        <f>_xll.PICalcVal(J$6,$A30,$A31,"average", 1, 0,"gramercypi1")</f>
        <v>174.48855071282728</v>
      </c>
      <c r="K30" s="92">
        <f>_xll.PICalcVal(K$6,$A30,$A31,"average", 1, 0,"gramercypi1")</f>
        <v>168.91417593454594</v>
      </c>
      <c r="L30" s="92">
        <f>_xll.PICalcVal(L$6,$A30,$A31,"average", 1, 0,"gramercypi1")</f>
        <v>22.082430467253282</v>
      </c>
      <c r="M30" s="92">
        <f>_xll.PICalcVal(M$6,$A30,$A31,"average", 1, 0,"gramercypi1")</f>
        <v>925.12598256852891</v>
      </c>
      <c r="N30" s="92">
        <f>_xll.PICalcVal(N$6,$A30,$A31,"average", 1, 0,"gramercypi1")</f>
        <v>3772.1166666666668</v>
      </c>
      <c r="O30" s="92">
        <f>_xll.PICalcVal(O$6,$A30,$A31,"average", 1, 0,"gramercypi1")</f>
        <v>104.36851709854614</v>
      </c>
      <c r="P30" s="92">
        <f>_xll.PICalcVal(P$6,$A30,$A31,"average", 1, 0,"gramercypi1")</f>
        <v>160.45284389653955</v>
      </c>
      <c r="Q30" s="92">
        <f>_xll.PICalcVal(Q$6,$A30,$A31,"average", 1, 0,"gramercypi1")</f>
        <v>172.88603180269448</v>
      </c>
      <c r="R30" s="98">
        <f>_xll.PICalcVal(R$6,$A30,$A31,"average", 1, 0,"gramercypi1")</f>
        <v>184.26833723704021</v>
      </c>
    </row>
    <row r="31" spans="1:18" ht="13.5" thickBot="1" x14ac:dyDescent="0.25">
      <c r="A31" s="129">
        <f t="shared" si="0"/>
        <v>43318.999999999942</v>
      </c>
      <c r="B31" s="93">
        <f t="shared" ref="B31:R31" si="1">AVERAGE(B7:B30)</f>
        <v>145.5178964412701</v>
      </c>
      <c r="C31" s="94">
        <f t="shared" si="1"/>
        <v>113.65157110437535</v>
      </c>
      <c r="D31" s="94">
        <f t="shared" si="1"/>
        <v>160.62253526822505</v>
      </c>
      <c r="E31" s="94">
        <f t="shared" si="1"/>
        <v>172.65022197875723</v>
      </c>
      <c r="F31" s="94">
        <f t="shared" si="1"/>
        <v>185.55082679646887</v>
      </c>
      <c r="G31" s="94">
        <f t="shared" si="1"/>
        <v>220.0514567841789</v>
      </c>
      <c r="H31" s="94">
        <f t="shared" si="1"/>
        <v>207.02388880908174</v>
      </c>
      <c r="I31" s="94">
        <f t="shared" si="1"/>
        <v>182.25676493237719</v>
      </c>
      <c r="J31" s="94">
        <f t="shared" si="1"/>
        <v>175.79782429055192</v>
      </c>
      <c r="K31" s="94">
        <f t="shared" si="1"/>
        <v>169.25565850153805</v>
      </c>
      <c r="L31" s="94">
        <f t="shared" si="1"/>
        <v>22.053051493024032</v>
      </c>
      <c r="M31" s="94">
        <f t="shared" si="1"/>
        <v>1201.920168647322</v>
      </c>
      <c r="N31" s="94">
        <f t="shared" si="1"/>
        <v>3782.3243055555558</v>
      </c>
      <c r="O31" s="94">
        <f t="shared" si="1"/>
        <v>104.31361016734643</v>
      </c>
      <c r="P31" s="94">
        <f t="shared" si="1"/>
        <v>155.2281736786156</v>
      </c>
      <c r="Q31" s="94">
        <f t="shared" si="1"/>
        <v>167.8901825068493</v>
      </c>
      <c r="R31" s="95">
        <f t="shared" si="1"/>
        <v>179.67171312773669</v>
      </c>
    </row>
  </sheetData>
  <mergeCells count="1">
    <mergeCell ref="B3:R3"/>
  </mergeCells>
  <phoneticPr fontId="14" type="noConversion"/>
  <pageMargins left="0.75" right="0.75" top="1" bottom="1" header="0.5" footer="0.5"/>
  <pageSetup scale="7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K31"/>
  <sheetViews>
    <sheetView workbookViewId="0"/>
  </sheetViews>
  <sheetFormatPr defaultColWidth="9.140625" defaultRowHeight="12.75" x14ac:dyDescent="0.2"/>
  <cols>
    <col min="1" max="1" width="13.85546875" style="136" customWidth="1"/>
    <col min="2" max="2" width="11.140625" style="58" customWidth="1"/>
    <col min="3" max="3" width="7.7109375" style="58" bestFit="1" customWidth="1"/>
    <col min="4" max="4" width="8.42578125" style="58" bestFit="1" customWidth="1"/>
    <col min="5" max="5" width="7" style="58" bestFit="1" customWidth="1"/>
    <col min="6" max="9" width="8.28515625" style="58" bestFit="1" customWidth="1"/>
    <col min="10" max="10" width="8.85546875" style="58" bestFit="1" customWidth="1"/>
    <col min="11" max="11" width="7" style="58" bestFit="1" customWidth="1"/>
    <col min="12" max="16384" width="9.140625" style="58"/>
  </cols>
  <sheetData>
    <row r="1" spans="1:11" x14ac:dyDescent="0.2">
      <c r="A1" s="130" t="s">
        <v>1226</v>
      </c>
      <c r="B1" s="125">
        <f>PrintLogs!G1</f>
        <v>43318</v>
      </c>
    </row>
    <row r="2" spans="1:11" ht="13.5" thickBot="1" x14ac:dyDescent="0.25">
      <c r="A2" s="131"/>
    </row>
    <row r="3" spans="1:11" ht="13.5" thickBot="1" x14ac:dyDescent="0.25">
      <c r="A3" s="151" t="s">
        <v>2133</v>
      </c>
      <c r="B3" s="152"/>
      <c r="C3" s="152"/>
      <c r="D3" s="152"/>
      <c r="E3" s="152"/>
      <c r="F3" s="152"/>
      <c r="G3" s="152"/>
      <c r="H3" s="152"/>
      <c r="I3" s="152"/>
      <c r="J3" s="152"/>
      <c r="K3" s="153"/>
    </row>
    <row r="4" spans="1:11" ht="64.5" thickBot="1" x14ac:dyDescent="0.25">
      <c r="A4" s="132" t="s">
        <v>1226</v>
      </c>
      <c r="B4" s="107" t="s">
        <v>1252</v>
      </c>
      <c r="C4" s="107" t="s">
        <v>1253</v>
      </c>
      <c r="D4" s="107" t="s">
        <v>2136</v>
      </c>
      <c r="E4" s="108" t="s">
        <v>2137</v>
      </c>
      <c r="F4" s="107" t="s">
        <v>2138</v>
      </c>
      <c r="G4" s="107" t="s">
        <v>2139</v>
      </c>
      <c r="H4" s="107" t="s">
        <v>1262</v>
      </c>
      <c r="I4" s="107" t="s">
        <v>2141</v>
      </c>
      <c r="J4" s="107" t="s">
        <v>2142</v>
      </c>
      <c r="K4" s="109" t="s">
        <v>2143</v>
      </c>
    </row>
    <row r="5" spans="1:11" ht="26.25" hidden="1" thickBot="1" x14ac:dyDescent="0.25">
      <c r="A5" s="133"/>
      <c r="B5" s="82" t="s">
        <v>1254</v>
      </c>
      <c r="C5" s="82" t="s">
        <v>1255</v>
      </c>
      <c r="D5" s="82" t="s">
        <v>1256</v>
      </c>
      <c r="E5" s="111"/>
      <c r="F5" s="86" t="s">
        <v>1257</v>
      </c>
      <c r="G5" s="86" t="s">
        <v>1258</v>
      </c>
      <c r="H5" s="86" t="s">
        <v>1259</v>
      </c>
      <c r="I5" s="86" t="s">
        <v>1260</v>
      </c>
      <c r="J5" s="82" t="s">
        <v>1261</v>
      </c>
      <c r="K5" s="112"/>
    </row>
    <row r="6" spans="1:11" x14ac:dyDescent="0.2">
      <c r="A6" s="134">
        <f>B1</f>
        <v>43318</v>
      </c>
      <c r="B6" s="87">
        <f>_xll.PICalcVal(B$5,$A6,$A7,"average", 1, 0,"gramercypi1")</f>
        <v>4765.083333333333</v>
      </c>
      <c r="C6" s="87">
        <f>_xll.PICalcVal(C$5,$A6,$A7,"average", 1, 0,"gramercypi1")</f>
        <v>4750.8664890240807</v>
      </c>
      <c r="D6" s="87">
        <f>_xll.PICalcVal(D$5,$A6,$A7,"average", 1, 0,"gramercypi1")</f>
        <v>139.92598493543335</v>
      </c>
      <c r="E6" s="87"/>
      <c r="F6" s="87">
        <f>_xll.PICalcVal(F$5,$A6,$A7,"average", 1, 0,"gramercypi1")</f>
        <v>182.84532029153883</v>
      </c>
      <c r="G6" s="87">
        <f>_xll.PICalcVal(G$5,$A6,$A7,"average", 1, 0,"gramercypi1")</f>
        <v>175</v>
      </c>
      <c r="H6" s="87">
        <f>_xll.PICalcVal(H$5,$A6,$A7,"average", 1, 0,"gramercypi1")</f>
        <v>184</v>
      </c>
      <c r="I6" s="87">
        <f>_xll.PICalcVal(I$5,$A6,$A7,"average", 1, 0,"gramercypi1")</f>
        <v>175.03823536387119</v>
      </c>
      <c r="J6" s="87">
        <f>_xll.PICalcVal(J$5,$A6,$A7,"average", 1, 0,"gramercypi1")</f>
        <v>107.73558295524052</v>
      </c>
      <c r="K6" s="114"/>
    </row>
    <row r="7" spans="1:11" x14ac:dyDescent="0.2">
      <c r="A7" s="127">
        <f>A6+(1/24)</f>
        <v>43318.041666666664</v>
      </c>
      <c r="B7" s="87">
        <f>_xll.PICalcVal(B$5,$A7,$A8,"average", 1, 0,"gramercypi1")</f>
        <v>4770.3833333333332</v>
      </c>
      <c r="C7" s="87">
        <f>_xll.PICalcVal(C$5,$A7,$A8,"average", 1, 0,"gramercypi1")</f>
        <v>4751.6482728801948</v>
      </c>
      <c r="D7" s="87">
        <f>_xll.PICalcVal(D$5,$A7,$A8,"average", 1, 0,"gramercypi1")</f>
        <v>139.99888694763183</v>
      </c>
      <c r="E7" s="87"/>
      <c r="F7" s="87">
        <f>_xll.PICalcVal(F$5,$A7,$A8,"average", 1, 0,"gramercypi1")</f>
        <v>182.5190123301262</v>
      </c>
      <c r="G7" s="87">
        <f>_xll.PICalcVal(G$5,$A7,$A8,"average", 1, 0,"gramercypi1")</f>
        <v>175</v>
      </c>
      <c r="H7" s="87">
        <f>_xll.PICalcVal(H$5,$A7,$A8,"average", 1, 0,"gramercypi1")</f>
        <v>184</v>
      </c>
      <c r="I7" s="87">
        <f>_xll.PICalcVal(I$5,$A7,$A8,"average", 1, 0,"gramercypi1")</f>
        <v>175.00714709023308</v>
      </c>
      <c r="J7" s="87">
        <f>_xll.PICalcVal(J$5,$A7,$A8,"average", 1, 0,"gramercypi1")</f>
        <v>109.21527323541378</v>
      </c>
      <c r="K7" s="114"/>
    </row>
    <row r="8" spans="1:11" x14ac:dyDescent="0.2">
      <c r="A8" s="127">
        <f t="shared" ref="A8:A30" si="0">A7+(1/24)</f>
        <v>43318.083333333328</v>
      </c>
      <c r="B8" s="87">
        <f>_xll.PICalcVal(B$5,$A8,$A9,"average", 1, 0,"gramercypi1")</f>
        <v>4762.5</v>
      </c>
      <c r="C8" s="87">
        <f>_xll.PICalcVal(C$5,$A8,$A9,"average", 1, 0,"gramercypi1")</f>
        <v>4785.9883224772648</v>
      </c>
      <c r="D8" s="87">
        <f>_xll.PICalcVal(D$5,$A8,$A9,"average", 1, 0,"gramercypi1")</f>
        <v>139.99709152645534</v>
      </c>
      <c r="E8" s="87"/>
      <c r="F8" s="87">
        <f>_xll.PICalcVal(F$5,$A8,$A9,"average", 1, 0,"gramercypi1")</f>
        <v>182.18601606275493</v>
      </c>
      <c r="G8" s="87">
        <f>_xll.PICalcVal(G$5,$A8,$A9,"average", 1, 0,"gramercypi1")</f>
        <v>175</v>
      </c>
      <c r="H8" s="87">
        <f>_xll.PICalcVal(H$5,$A8,$A9,"average", 1, 0,"gramercypi1")</f>
        <v>184</v>
      </c>
      <c r="I8" s="87">
        <f>_xll.PICalcVal(I$5,$A8,$A9,"average", 1, 0,"gramercypi1")</f>
        <v>176.30382847081975</v>
      </c>
      <c r="J8" s="87">
        <f>_xll.PICalcVal(J$5,$A8,$A9,"average", 1, 0,"gramercypi1")</f>
        <v>102.7962354985434</v>
      </c>
      <c r="K8" s="114"/>
    </row>
    <row r="9" spans="1:11" x14ac:dyDescent="0.2">
      <c r="A9" s="127">
        <f t="shared" si="0"/>
        <v>43318.124999999993</v>
      </c>
      <c r="B9" s="87">
        <f>_xll.PICalcVal(B$5,$A9,$A10,"average", 1, 0,"gramercypi1")</f>
        <v>4759.5666666666666</v>
      </c>
      <c r="C9" s="87">
        <f>_xll.PICalcVal(C$5,$A9,$A10,"average", 1, 0,"gramercypi1")</f>
        <v>4786.9537620648935</v>
      </c>
      <c r="D9" s="87">
        <f>_xll.PICalcVal(D$5,$A9,$A10,"average", 1, 0,"gramercypi1")</f>
        <v>139.99722221798368</v>
      </c>
      <c r="E9" s="87"/>
      <c r="F9" s="87">
        <f>_xll.PICalcVal(F$5,$A9,$A10,"average", 1, 0,"gramercypi1")</f>
        <v>182.00057200274068</v>
      </c>
      <c r="G9" s="87">
        <f>_xll.PICalcVal(G$5,$A9,$A10,"average", 1, 0,"gramercypi1")</f>
        <v>175.24501571445313</v>
      </c>
      <c r="H9" s="87">
        <f>_xll.PICalcVal(H$5,$A9,$A10,"average", 1, 0,"gramercypi1")</f>
        <v>184.05412894636021</v>
      </c>
      <c r="I9" s="87">
        <f>_xll.PICalcVal(I$5,$A9,$A10,"average", 1, 0,"gramercypi1")</f>
        <v>178.09411968838637</v>
      </c>
      <c r="J9" s="87">
        <f>_xll.PICalcVal(J$5,$A9,$A10,"average", 1, 0,"gramercypi1")</f>
        <v>100.03371760478159</v>
      </c>
      <c r="K9" s="114"/>
    </row>
    <row r="10" spans="1:11" x14ac:dyDescent="0.2">
      <c r="A10" s="127">
        <f t="shared" si="0"/>
        <v>43318.166666666657</v>
      </c>
      <c r="B10" s="87">
        <f>_xll.PICalcVal(B$5,$A10,$A11,"average", 1, 0,"gramercypi1")</f>
        <v>4700.333333333333</v>
      </c>
      <c r="C10" s="87">
        <f>_xll.PICalcVal(C$5,$A10,$A11,"average", 1, 0,"gramercypi1")</f>
        <v>4788.7910962287133</v>
      </c>
      <c r="D10" s="87">
        <f>_xll.PICalcVal(D$5,$A10,$A11,"average", 1, 0,"gramercypi1")</f>
        <v>139.86950553009362</v>
      </c>
      <c r="E10" s="87"/>
      <c r="F10" s="87">
        <f>_xll.PICalcVal(F$5,$A10,$A11,"average", 1, 0,"gramercypi1")</f>
        <v>182</v>
      </c>
      <c r="G10" s="87">
        <f>_xll.PICalcVal(G$5,$A10,$A11,"average", 1, 0,"gramercypi1")</f>
        <v>176.44323956306354</v>
      </c>
      <c r="H10" s="87">
        <f>_xll.PICalcVal(H$5,$A10,$A11,"average", 1, 0,"gramercypi1")</f>
        <v>185.04627309276151</v>
      </c>
      <c r="I10" s="87">
        <f>_xll.PICalcVal(I$5,$A10,$A11,"average", 1, 0,"gramercypi1")</f>
        <v>178.75733323963479</v>
      </c>
      <c r="J10" s="87">
        <f>_xll.PICalcVal(J$5,$A10,$A11,"average", 1, 0,"gramercypi1")</f>
        <v>100.80449540227561</v>
      </c>
      <c r="K10" s="114"/>
    </row>
    <row r="11" spans="1:11" x14ac:dyDescent="0.2">
      <c r="A11" s="127">
        <f t="shared" si="0"/>
        <v>43318.208333333321</v>
      </c>
      <c r="B11" s="87">
        <f>_xll.PICalcVal(B$5,$A11,$A12,"average", 1, 0,"gramercypi1")</f>
        <v>4692.8999999999996</v>
      </c>
      <c r="C11" s="87">
        <f>_xll.PICalcVal(C$5,$A11,$A12,"average", 1, 0,"gramercypi1")</f>
        <v>4780.0076626163063</v>
      </c>
      <c r="D11" s="87">
        <f>_xll.PICalcVal(D$5,$A11,$A12,"average", 1, 0,"gramercypi1")</f>
        <v>139.07101599304252</v>
      </c>
      <c r="E11" s="87"/>
      <c r="F11" s="87">
        <f>_xll.PICalcVal(F$5,$A11,$A12,"average", 1, 0,"gramercypi1")</f>
        <v>181.70591968984377</v>
      </c>
      <c r="G11" s="87">
        <f>_xll.PICalcVal(G$5,$A11,$A12,"average", 1, 0,"gramercypi1")</f>
        <v>175.14619000192261</v>
      </c>
      <c r="H11" s="87">
        <f>_xll.PICalcVal(H$5,$A11,$A12,"average", 1, 0,"gramercypi1")</f>
        <v>184.57593975364884</v>
      </c>
      <c r="I11" s="87">
        <f>_xll.PICalcVal(I$5,$A11,$A12,"average", 1, 0,"gramercypi1")</f>
        <v>178.8097170920085</v>
      </c>
      <c r="J11" s="87">
        <f>_xll.PICalcVal(J$5,$A11,$A12,"average", 1, 0,"gramercypi1")</f>
        <v>97.426669296788688</v>
      </c>
      <c r="K11" s="114"/>
    </row>
    <row r="12" spans="1:11" x14ac:dyDescent="0.2">
      <c r="A12" s="127">
        <f t="shared" si="0"/>
        <v>43318.249999999985</v>
      </c>
      <c r="B12" s="87">
        <f>_xll.PICalcVal(B$5,$A12,$A13,"average", 1, 0,"gramercypi1")</f>
        <v>4741.5333333333338</v>
      </c>
      <c r="C12" s="87">
        <f>_xll.PICalcVal(C$5,$A12,$A13,"average", 1, 0,"gramercypi1")</f>
        <v>4777.7030628352695</v>
      </c>
      <c r="D12" s="87">
        <f>_xll.PICalcVal(D$5,$A12,$A13,"average", 1, 0,"gramercypi1")</f>
        <v>138.33489555043153</v>
      </c>
      <c r="E12" s="87"/>
      <c r="F12" s="87">
        <f>_xll.PICalcVal(F$5,$A12,$A13,"average", 1, 0,"gramercypi1")</f>
        <v>180.5145469934273</v>
      </c>
      <c r="G12" s="87">
        <f>_xll.PICalcVal(G$5,$A12,$A13,"average", 1, 0,"gramercypi1")</f>
        <v>173.99930244010631</v>
      </c>
      <c r="H12" s="87">
        <f>_xll.PICalcVal(H$5,$A12,$A13,"average", 1, 0,"gramercypi1")</f>
        <v>177.88041863968678</v>
      </c>
      <c r="I12" s="87">
        <f>_xll.PICalcVal(I$5,$A12,$A13,"average", 1, 0,"gramercypi1")</f>
        <v>173.39245961643195</v>
      </c>
      <c r="J12" s="87">
        <f>_xll.PICalcVal(J$5,$A12,$A13,"average", 1, 0,"gramercypi1")</f>
        <v>102.94978987627219</v>
      </c>
      <c r="K12" s="114"/>
    </row>
    <row r="13" spans="1:11" x14ac:dyDescent="0.2">
      <c r="A13" s="127">
        <f t="shared" si="0"/>
        <v>43318.29166666665</v>
      </c>
      <c r="B13" s="87">
        <f>_xll.PICalcVal(B$5,$A13,$A14,"average", 1, 0,"gramercypi1")</f>
        <v>4735.7</v>
      </c>
      <c r="C13" s="87">
        <f>_xll.PICalcVal(C$5,$A13,$A14,"average", 1, 0,"gramercypi1")</f>
        <v>4798.2631571324664</v>
      </c>
      <c r="D13" s="87">
        <f>_xll.PICalcVal(D$5,$A13,$A14,"average", 1, 0,"gramercypi1")</f>
        <v>138.80349542617799</v>
      </c>
      <c r="E13" s="87"/>
      <c r="F13" s="87">
        <f>_xll.PICalcVal(F$5,$A13,$A14,"average", 1, 0,"gramercypi1")</f>
        <v>176.86545809491977</v>
      </c>
      <c r="G13" s="87">
        <f>_xll.PICalcVal(G$5,$A13,$A14,"average", 1, 0,"gramercypi1")</f>
        <v>170.64378063985652</v>
      </c>
      <c r="H13" s="87">
        <f>_xll.PICalcVal(H$5,$A13,$A14,"average", 1, 0,"gramercypi1")</f>
        <v>177.92011374738277</v>
      </c>
      <c r="I13" s="87">
        <f>_xll.PICalcVal(I$5,$A13,$A14,"average", 1, 0,"gramercypi1")</f>
        <v>175.93563003698196</v>
      </c>
      <c r="J13" s="87">
        <f>_xll.PICalcVal(J$5,$A13,$A14,"average", 1, 0,"gramercypi1")</f>
        <v>85.406588833624809</v>
      </c>
      <c r="K13" s="114"/>
    </row>
    <row r="14" spans="1:11" x14ac:dyDescent="0.2">
      <c r="A14" s="127">
        <f t="shared" si="0"/>
        <v>43318.333333333314</v>
      </c>
      <c r="B14" s="87">
        <f>_xll.PICalcVal(B$5,$A14,$A15,"average", 1, 0,"gramercypi1")</f>
        <v>4732.8666666666668</v>
      </c>
      <c r="C14" s="87">
        <f>_xll.PICalcVal(C$5,$A14,$A15,"average", 1, 0,"gramercypi1")</f>
        <v>4769.340032783658</v>
      </c>
      <c r="D14" s="87">
        <f>_xll.PICalcVal(D$5,$A14,$A15,"average", 1, 0,"gramercypi1")</f>
        <v>139.18277103836252</v>
      </c>
      <c r="E14" s="87"/>
      <c r="F14" s="87">
        <f>_xll.PICalcVal(F$5,$A14,$A15,"average", 1, 0,"gramercypi1")</f>
        <v>182.37700044264352</v>
      </c>
      <c r="G14" s="87">
        <f>_xll.PICalcVal(G$5,$A14,$A15,"average", 1, 0,"gramercypi1")</f>
        <v>175.26784799973223</v>
      </c>
      <c r="H14" s="87">
        <f>_xll.PICalcVal(H$5,$A14,$A15,"average", 1, 0,"gramercypi1")</f>
        <v>181.21151651887749</v>
      </c>
      <c r="I14" s="87">
        <f>_xll.PICalcVal(I$5,$A14,$A15,"average", 1, 0,"gramercypi1")</f>
        <v>180.26976818852427</v>
      </c>
      <c r="J14" s="87">
        <f>_xll.PICalcVal(J$5,$A14,$A15,"average", 1, 0,"gramercypi1")</f>
        <v>81.294541070835706</v>
      </c>
      <c r="K14" s="114"/>
    </row>
    <row r="15" spans="1:11" x14ac:dyDescent="0.2">
      <c r="A15" s="127">
        <f t="shared" si="0"/>
        <v>43318.374999999978</v>
      </c>
      <c r="B15" s="87">
        <f>_xll.PICalcVal(B$5,$A15,$A16,"average", 1, 0,"gramercypi1")</f>
        <v>4737.7833333333338</v>
      </c>
      <c r="C15" s="87">
        <f>_xll.PICalcVal(C$5,$A15,$A16,"average", 1, 0,"gramercypi1")</f>
        <v>4669.4128086247647</v>
      </c>
      <c r="D15" s="87">
        <f>_xll.PICalcVal(D$5,$A15,$A16,"average", 1, 0,"gramercypi1")</f>
        <v>140.24690869025147</v>
      </c>
      <c r="E15" s="87"/>
      <c r="F15" s="87">
        <f>_xll.PICalcVal(F$5,$A15,$A16,"average", 1, 0,"gramercypi1")</f>
        <v>186.59946880051777</v>
      </c>
      <c r="G15" s="87">
        <f>_xll.PICalcVal(G$5,$A15,$A16,"average", 1, 0,"gramercypi1")</f>
        <v>178.23666639429723</v>
      </c>
      <c r="H15" s="87">
        <f>_xll.PICalcVal(H$5,$A15,$A16,"average", 1, 0,"gramercypi1")</f>
        <v>181.93876320439585</v>
      </c>
      <c r="I15" s="87">
        <f>_xll.PICalcVal(I$5,$A15,$A16,"average", 1, 0,"gramercypi1")</f>
        <v>179.53546571692613</v>
      </c>
      <c r="J15" s="87">
        <f>_xll.PICalcVal(J$5,$A15,$A16,"average", 1, 0,"gramercypi1")</f>
        <v>85.014216914182825</v>
      </c>
      <c r="K15" s="114"/>
    </row>
    <row r="16" spans="1:11" x14ac:dyDescent="0.2">
      <c r="A16" s="127">
        <f t="shared" si="0"/>
        <v>43318.416666666642</v>
      </c>
      <c r="B16" s="87">
        <f>_xll.PICalcVal(B$5,$A16,$A17,"average", 1, 0,"gramercypi1")</f>
        <v>4735.3666666666668</v>
      </c>
      <c r="C16" s="87">
        <f>_xll.PICalcVal(C$5,$A16,$A17,"average", 1, 0,"gramercypi1")</f>
        <v>4685.7987267246135</v>
      </c>
      <c r="D16" s="87">
        <f>_xll.PICalcVal(D$5,$A16,$A17,"average", 1, 0,"gramercypi1")</f>
        <v>140.10291734807851</v>
      </c>
      <c r="E16" s="87"/>
      <c r="F16" s="87">
        <f>_xll.PICalcVal(F$5,$A16,$A17,"average", 1, 0,"gramercypi1")</f>
        <v>188</v>
      </c>
      <c r="G16" s="87">
        <f>_xll.PICalcVal(G$5,$A16,$A17,"average", 1, 0,"gramercypi1")</f>
        <v>179</v>
      </c>
      <c r="H16" s="87">
        <f>_xll.PICalcVal(H$5,$A16,$A17,"average", 1, 0,"gramercypi1")</f>
        <v>181</v>
      </c>
      <c r="I16" s="87">
        <f>_xll.PICalcVal(I$5,$A16,$A17,"average", 1, 0,"gramercypi1")</f>
        <v>175.60338853431463</v>
      </c>
      <c r="J16" s="87">
        <f>_xll.PICalcVal(J$5,$A16,$A17,"average", 1, 0,"gramercypi1")</f>
        <v>94.660968192085704</v>
      </c>
      <c r="K16" s="114"/>
    </row>
    <row r="17" spans="1:11" x14ac:dyDescent="0.2">
      <c r="A17" s="127">
        <f t="shared" si="0"/>
        <v>43318.458333333307</v>
      </c>
      <c r="B17" s="87">
        <f>_xll.PICalcVal(B$5,$A17,$A18,"average", 1, 0,"gramercypi1")</f>
        <v>4726.083333333333</v>
      </c>
      <c r="C17" s="87">
        <f>_xll.PICalcVal(C$5,$A17,$A18,"average", 1, 0,"gramercypi1")</f>
        <v>4815.4712367757165</v>
      </c>
      <c r="D17" s="87">
        <f>_xll.PICalcVal(D$5,$A17,$A18,"average", 1, 0,"gramercypi1")</f>
        <v>142.02401305828002</v>
      </c>
      <c r="E17" s="87"/>
      <c r="F17" s="87">
        <f>_xll.PICalcVal(F$5,$A17,$A18,"average", 1, 0,"gramercypi1")</f>
        <v>188</v>
      </c>
      <c r="G17" s="87">
        <f>_xll.PICalcVal(G$5,$A17,$A18,"average", 1, 0,"gramercypi1")</f>
        <v>179.70252552200284</v>
      </c>
      <c r="H17" s="87">
        <f>_xll.PICalcVal(H$5,$A17,$A18,"average", 1, 0,"gramercypi1")</f>
        <v>181</v>
      </c>
      <c r="I17" s="87">
        <f>_xll.PICalcVal(I$5,$A17,$A18,"average", 1, 0,"gramercypi1")</f>
        <v>173.22488051682805</v>
      </c>
      <c r="J17" s="87">
        <f>_xll.PICalcVal(J$5,$A17,$A18,"average", 1, 0,"gramercypi1")</f>
        <v>103.15902355241121</v>
      </c>
      <c r="K17" s="114"/>
    </row>
    <row r="18" spans="1:11" x14ac:dyDescent="0.2">
      <c r="A18" s="127">
        <f t="shared" si="0"/>
        <v>43318.499999999971</v>
      </c>
      <c r="B18" s="87">
        <f>_xll.PICalcVal(B$5,$A18,$A19,"average", 1, 0,"gramercypi1")</f>
        <v>4719.166666666667</v>
      </c>
      <c r="C18" s="87">
        <f>_xll.PICalcVal(C$5,$A18,$A19,"average", 1, 0,"gramercypi1")</f>
        <v>5215.7957088198691</v>
      </c>
      <c r="D18" s="87">
        <f>_xll.PICalcVal(D$5,$A18,$A19,"average", 1, 0,"gramercypi1")</f>
        <v>144.88620908025808</v>
      </c>
      <c r="E18" s="87"/>
      <c r="F18" s="87">
        <f>_xll.PICalcVal(F$5,$A18,$A19,"average", 1, 0,"gramercypi1")</f>
        <v>187.94082984709968</v>
      </c>
      <c r="G18" s="87">
        <f>_xll.PICalcVal(G$5,$A18,$A19,"average", 1, 0,"gramercypi1")</f>
        <v>179.98169076395848</v>
      </c>
      <c r="H18" s="87">
        <f>_xll.PICalcVal(H$5,$A18,$A19,"average", 1, 0,"gramercypi1")</f>
        <v>181.34623321197128</v>
      </c>
      <c r="I18" s="87">
        <f>_xll.PICalcVal(I$5,$A18,$A19,"average", 1, 0,"gramercypi1")</f>
        <v>175.83677205433963</v>
      </c>
      <c r="J18" s="87">
        <f>_xll.PICalcVal(J$5,$A18,$A19,"average", 1, 0,"gramercypi1")</f>
        <v>96.294461850224081</v>
      </c>
      <c r="K18" s="114"/>
    </row>
    <row r="19" spans="1:11" x14ac:dyDescent="0.2">
      <c r="A19" s="127">
        <f t="shared" si="0"/>
        <v>43318.541666666635</v>
      </c>
      <c r="B19" s="87">
        <f>_xll.PICalcVal(B$5,$A19,$A20,"average", 1, 0,"gramercypi1")</f>
        <v>4720</v>
      </c>
      <c r="C19" s="87">
        <f>_xll.PICalcVal(C$5,$A19,$A20,"average", 1, 0,"gramercypi1")</f>
        <v>4896.5053712676518</v>
      </c>
      <c r="D19" s="87">
        <f>_xll.PICalcVal(D$5,$A19,$A20,"average", 1, 0,"gramercypi1")</f>
        <v>142.05109982823299</v>
      </c>
      <c r="E19" s="87"/>
      <c r="F19" s="87">
        <f>_xll.PICalcVal(F$5,$A19,$A20,"average", 1, 0,"gramercypi1")</f>
        <v>185.0510424770427</v>
      </c>
      <c r="G19" s="87">
        <f>_xll.PICalcVal(G$5,$A19,$A20,"average", 1, 0,"gramercypi1")</f>
        <v>176.64011122561004</v>
      </c>
      <c r="H19" s="87">
        <f>_xll.PICalcVal(H$5,$A19,$A20,"average", 1, 0,"gramercypi1")</f>
        <v>179.88504291524276</v>
      </c>
      <c r="I19" s="87">
        <f>_xll.PICalcVal(I$5,$A19,$A20,"average", 1, 0,"gramercypi1")</f>
        <v>176</v>
      </c>
      <c r="J19" s="87">
        <f>_xll.PICalcVal(J$5,$A19,$A20,"average", 1, 0,"gramercypi1")</f>
        <v>89.044318517396178</v>
      </c>
      <c r="K19" s="114"/>
    </row>
    <row r="20" spans="1:11" x14ac:dyDescent="0.2">
      <c r="A20" s="127">
        <f t="shared" si="0"/>
        <v>43318.583333333299</v>
      </c>
      <c r="B20" s="87">
        <f>_xll.PICalcVal(B$5,$A20,$A21,"average", 1, 0,"gramercypi1")</f>
        <v>4522.6833333333334</v>
      </c>
      <c r="C20" s="87">
        <f>_xll.PICalcVal(C$5,$A20,$A21,"average", 1, 0,"gramercypi1")</f>
        <v>4039.4904027467715</v>
      </c>
      <c r="D20" s="87">
        <f>_xll.PICalcVal(D$5,$A20,$A21,"average", 1, 0,"gramercypi1")</f>
        <v>133.43159442066798</v>
      </c>
      <c r="E20" s="87"/>
      <c r="F20" s="87">
        <f>_xll.PICalcVal(F$5,$A20,$A21,"average", 1, 0,"gramercypi1")</f>
        <v>178.85224248239945</v>
      </c>
      <c r="G20" s="87">
        <f>_xll.PICalcVal(G$5,$A20,$A21,"average", 1, 0,"gramercypi1")</f>
        <v>169.74107699430536</v>
      </c>
      <c r="H20" s="87">
        <f>_xll.PICalcVal(H$5,$A20,$A21,"average", 1, 0,"gramercypi1")</f>
        <v>176.02321500064787</v>
      </c>
      <c r="I20" s="87">
        <f>_xll.PICalcVal(I$5,$A20,$A21,"average", 1, 0,"gramercypi1")</f>
        <v>174.67418667475383</v>
      </c>
      <c r="J20" s="87">
        <f>_xll.PICalcVal(J$5,$A20,$A21,"average", 1, 0,"gramercypi1")</f>
        <v>80.513486008515315</v>
      </c>
      <c r="K20" s="114"/>
    </row>
    <row r="21" spans="1:11" x14ac:dyDescent="0.2">
      <c r="A21" s="127">
        <f>A20+(1/24)</f>
        <v>43318.624999999964</v>
      </c>
      <c r="B21" s="87">
        <f>_xll.PICalcVal(B$5,$A21,$A22,"average", 1, 0,"gramercypi1")</f>
        <v>4552.8999999999996</v>
      </c>
      <c r="C21" s="87">
        <f>_xll.PICalcVal(C$5,$A21,$A22,"average", 1, 0,"gramercypi1")</f>
        <v>3481.9000381860237</v>
      </c>
      <c r="D21" s="87">
        <f>_xll.PICalcVal(D$5,$A21,$A22,"average", 1, 0,"gramercypi1")</f>
        <v>122.68468565274405</v>
      </c>
      <c r="E21" s="87"/>
      <c r="F21" s="87">
        <f>_xll.PICalcVal(F$5,$A21,$A22,"average", 1, 0,"gramercypi1")</f>
        <v>164.41988167534527</v>
      </c>
      <c r="G21" s="87">
        <f>_xll.PICalcVal(G$5,$A21,$A22,"average", 1, 0,"gramercypi1")</f>
        <v>158.26923271642053</v>
      </c>
      <c r="H21" s="87">
        <f>_xll.PICalcVal(H$5,$A21,$A22,"average", 1, 0,"gramercypi1")</f>
        <v>172.49274643111457</v>
      </c>
      <c r="I21" s="87">
        <f>_xll.PICalcVal(I$5,$A21,$A22,"average", 1, 0,"gramercypi1")</f>
        <v>171.97317451287637</v>
      </c>
      <c r="J21" s="87">
        <f>_xll.PICalcVal(J$5,$A21,$A22,"average", 1, 0,"gramercypi1")</f>
        <v>77.699376802745874</v>
      </c>
      <c r="K21" s="114"/>
    </row>
    <row r="22" spans="1:11" x14ac:dyDescent="0.2">
      <c r="A22" s="127">
        <f t="shared" si="0"/>
        <v>43318.666666666628</v>
      </c>
      <c r="B22" s="87">
        <f>_xll.PICalcVal(B$5,$A22,$A23,"average", 1, 0,"gramercypi1")</f>
        <v>4686.3666666666668</v>
      </c>
      <c r="C22" s="87">
        <f>_xll.PICalcVal(C$5,$A22,$A23,"average", 1, 0,"gramercypi1")</f>
        <v>4582.2622159503744</v>
      </c>
      <c r="D22" s="87">
        <f>_xll.PICalcVal(D$5,$A22,$A23,"average", 1, 0,"gramercypi1")</f>
        <v>138.24233926321747</v>
      </c>
      <c r="E22" s="87"/>
      <c r="F22" s="87">
        <f>_xll.PICalcVal(F$5,$A22,$A23,"average", 1, 0,"gramercypi1")</f>
        <v>176.39673158638936</v>
      </c>
      <c r="G22" s="87">
        <f>_xll.PICalcVal(G$5,$A22,$A23,"average", 1, 0,"gramercypi1")</f>
        <v>171.2779175228471</v>
      </c>
      <c r="H22" s="87">
        <f>_xll.PICalcVal(H$5,$A22,$A23,"average", 1, 0,"gramercypi1")</f>
        <v>178.2786769388392</v>
      </c>
      <c r="I22" s="87">
        <f>_xll.PICalcVal(I$5,$A22,$A23,"average", 1, 0,"gramercypi1")</f>
        <v>172.5689247955614</v>
      </c>
      <c r="J22" s="87">
        <f>_xll.PICalcVal(J$5,$A22,$A23,"average", 1, 0,"gramercypi1")</f>
        <v>90.666734053423824</v>
      </c>
      <c r="K22" s="114"/>
    </row>
    <row r="23" spans="1:11" x14ac:dyDescent="0.2">
      <c r="A23" s="127">
        <f t="shared" si="0"/>
        <v>43318.708333333292</v>
      </c>
      <c r="B23" s="87">
        <f>_xll.PICalcVal(B$5,$A23,$A24,"average", 1, 0,"gramercypi1")</f>
        <v>4673.2</v>
      </c>
      <c r="C23" s="87">
        <f>_xll.PICalcVal(C$5,$A23,$A24,"average", 1, 0,"gramercypi1")</f>
        <v>3958.8193454541074</v>
      </c>
      <c r="D23" s="87">
        <f>_xll.PICalcVal(D$5,$A23,$A24,"average", 1, 0,"gramercypi1")</f>
        <v>130.97641043490302</v>
      </c>
      <c r="E23" s="87"/>
      <c r="F23" s="87">
        <f>_xll.PICalcVal(F$5,$A23,$A24,"average", 1, 0,"gramercypi1")</f>
        <v>176.81766723750354</v>
      </c>
      <c r="G23" s="87">
        <f>_xll.PICalcVal(G$5,$A23,$A24,"average", 1, 0,"gramercypi1")</f>
        <v>167.03365221098466</v>
      </c>
      <c r="H23" s="87">
        <f>_xll.PICalcVal(H$5,$A23,$A24,"average", 1, 0,"gramercypi1")</f>
        <v>171.10375160809056</v>
      </c>
      <c r="I23" s="87">
        <f>_xll.PICalcVal(I$5,$A23,$A24,"average", 1, 0,"gramercypi1")</f>
        <v>166.51657829980604</v>
      </c>
      <c r="J23" s="87">
        <f>_xll.PICalcVal(J$5,$A23,$A24,"average", 1, 0,"gramercypi1")</f>
        <v>84.306148291668848</v>
      </c>
      <c r="K23" s="114"/>
    </row>
    <row r="24" spans="1:11" x14ac:dyDescent="0.2">
      <c r="A24" s="127">
        <f t="shared" si="0"/>
        <v>43318.749999999956</v>
      </c>
      <c r="B24" s="87">
        <f>_xll.PICalcVal(B$5,$A24,$A25,"average", 1, 0,"gramercypi1")</f>
        <v>4744.2166666666662</v>
      </c>
      <c r="C24" s="87">
        <f>_xll.PICalcVal(C$5,$A24,$A25,"average", 1, 0,"gramercypi1")</f>
        <v>4376.6340515973852</v>
      </c>
      <c r="D24" s="87">
        <f>_xll.PICalcVal(D$5,$A24,$A25,"average", 1, 0,"gramercypi1")</f>
        <v>133.76022564848796</v>
      </c>
      <c r="E24" s="87"/>
      <c r="F24" s="87">
        <f>_xll.PICalcVal(F$5,$A24,$A25,"average", 1, 0,"gramercypi1")</f>
        <v>176.59925804687381</v>
      </c>
      <c r="G24" s="87">
        <f>_xll.PICalcVal(G$5,$A24,$A25,"average", 1, 0,"gramercypi1")</f>
        <v>166.97009355954026</v>
      </c>
      <c r="H24" s="87">
        <f>_xll.PICalcVal(H$5,$A24,$A25,"average", 1, 0,"gramercypi1")</f>
        <v>171.54964649152862</v>
      </c>
      <c r="I24" s="87">
        <f>_xll.PICalcVal(I$5,$A24,$A25,"average", 1, 0,"gramercypi1")</f>
        <v>166.99902670482246</v>
      </c>
      <c r="J24" s="87">
        <f>_xll.PICalcVal(J$5,$A24,$A25,"average", 1, 0,"gramercypi1")</f>
        <v>84.657224868367464</v>
      </c>
      <c r="K24" s="114"/>
    </row>
    <row r="25" spans="1:11" x14ac:dyDescent="0.2">
      <c r="A25" s="127">
        <f t="shared" si="0"/>
        <v>43318.791666666621</v>
      </c>
      <c r="B25" s="87">
        <f>_xll.PICalcVal(B$5,$A25,$A26,"average", 1, 0,"gramercypi1")</f>
        <v>4746.8833333333332</v>
      </c>
      <c r="C25" s="87">
        <f>_xll.PICalcVal(C$5,$A25,$A26,"average", 1, 0,"gramercypi1")</f>
        <v>4512.0362389564516</v>
      </c>
      <c r="D25" s="87">
        <f>_xll.PICalcVal(D$5,$A25,$A26,"average", 1, 0,"gramercypi1")</f>
        <v>135.80046544373747</v>
      </c>
      <c r="E25" s="87"/>
      <c r="F25" s="87">
        <f>_xll.PICalcVal(F$5,$A25,$A26,"average", 1, 0,"gramercypi1")</f>
        <v>179.58006272137695</v>
      </c>
      <c r="G25" s="87">
        <f>_xll.PICalcVal(G$5,$A25,$A26,"average", 1, 0,"gramercypi1")</f>
        <v>172.2650792221848</v>
      </c>
      <c r="H25" s="87">
        <f>_xll.PICalcVal(H$5,$A25,$A26,"average", 1, 0,"gramercypi1")</f>
        <v>174.85467482011939</v>
      </c>
      <c r="I25" s="87">
        <f>_xll.PICalcVal(I$5,$A25,$A26,"average", 1, 0,"gramercypi1")</f>
        <v>167.01799041183793</v>
      </c>
      <c r="J25" s="87">
        <f>_xll.PICalcVal(J$5,$A25,$A26,"average", 1, 0,"gramercypi1")</f>
        <v>93.323508238139809</v>
      </c>
      <c r="K25" s="114"/>
    </row>
    <row r="26" spans="1:11" x14ac:dyDescent="0.2">
      <c r="A26" s="127">
        <f t="shared" si="0"/>
        <v>43318.833333333285</v>
      </c>
      <c r="B26" s="87">
        <f>_xll.PICalcVal(B$5,$A26,$A27,"average", 1, 0,"gramercypi1")</f>
        <v>4127.2833333333338</v>
      </c>
      <c r="C26" s="87">
        <f>_xll.PICalcVal(C$5,$A26,$A27,"average", 1, 0,"gramercypi1")</f>
        <v>4041.4775210677253</v>
      </c>
      <c r="D26" s="87">
        <f>_xll.PICalcVal(D$5,$A26,$A27,"average", 1, 0,"gramercypi1")</f>
        <v>133.00750968528408</v>
      </c>
      <c r="E26" s="87"/>
      <c r="F26" s="87">
        <f>_xll.PICalcVal(F$5,$A26,$A27,"average", 1, 0,"gramercypi1")</f>
        <v>180.7898415829992</v>
      </c>
      <c r="G26" s="87">
        <f>_xll.PICalcVal(G$5,$A26,$A27,"average", 1, 0,"gramercypi1")</f>
        <v>173.00290191367898</v>
      </c>
      <c r="H26" s="87">
        <f>_xll.PICalcVal(H$5,$A26,$A27,"average", 1, 0,"gramercypi1")</f>
        <v>176.91489027376701</v>
      </c>
      <c r="I26" s="87">
        <f>_xll.PICalcVal(I$5,$A26,$A27,"average", 1, 0,"gramercypi1")</f>
        <v>168.50791043368014</v>
      </c>
      <c r="J26" s="87">
        <f>_xll.PICalcVal(J$5,$A26,$A27,"average", 1, 0,"gramercypi1")</f>
        <v>95.118835635918913</v>
      </c>
      <c r="K26" s="114"/>
    </row>
    <row r="27" spans="1:11" x14ac:dyDescent="0.2">
      <c r="A27" s="127">
        <f t="shared" si="0"/>
        <v>43318.874999999949</v>
      </c>
      <c r="B27" s="87">
        <f>_xll.PICalcVal(B$5,$A27,$A28,"average", 1, 0,"gramercypi1")</f>
        <v>4327.8999999999996</v>
      </c>
      <c r="C27" s="87">
        <f>_xll.PICalcVal(C$5,$A27,$A28,"average", 1, 0,"gramercypi1")</f>
        <v>4174.9414938587615</v>
      </c>
      <c r="D27" s="87">
        <f>_xll.PICalcVal(D$5,$A27,$A28,"average", 1, 0,"gramercypi1")</f>
        <v>134.43968331183953</v>
      </c>
      <c r="E27" s="87"/>
      <c r="F27" s="87">
        <f>_xll.PICalcVal(F$5,$A27,$A28,"average", 1, 0,"gramercypi1")</f>
        <v>181</v>
      </c>
      <c r="G27" s="87">
        <f>_xll.PICalcVal(G$5,$A27,$A28,"average", 1, 0,"gramercypi1")</f>
        <v>175.89748874094391</v>
      </c>
      <c r="H27" s="87">
        <f>_xll.PICalcVal(H$5,$A27,$A28,"average", 1, 0,"gramercypi1")</f>
        <v>181.64654921780766</v>
      </c>
      <c r="I27" s="87">
        <f>_xll.PICalcVal(I$5,$A27,$A28,"average", 1, 0,"gramercypi1")</f>
        <v>170.83357137628033</v>
      </c>
      <c r="J27" s="87">
        <f>_xll.PICalcVal(J$5,$A27,$A28,"average", 1, 0,"gramercypi1")</f>
        <v>106.70440434228044</v>
      </c>
      <c r="K27" s="114"/>
    </row>
    <row r="28" spans="1:11" x14ac:dyDescent="0.2">
      <c r="A28" s="127">
        <f t="shared" si="0"/>
        <v>43318.916666666613</v>
      </c>
      <c r="B28" s="87">
        <f>_xll.PICalcVal(B$5,$A28,$A29,"average", 1, 0,"gramercypi1")</f>
        <v>4592.333333333333</v>
      </c>
      <c r="C28" s="87">
        <f>_xll.PICalcVal(C$5,$A28,$A29,"average", 1, 0,"gramercypi1")</f>
        <v>4176.3634368432631</v>
      </c>
      <c r="D28" s="87">
        <f>_xll.PICalcVal(D$5,$A28,$A29,"average", 1, 0,"gramercypi1")</f>
        <v>133.92303022024603</v>
      </c>
      <c r="E28" s="87"/>
      <c r="F28" s="87">
        <f>_xll.PICalcVal(F$5,$A28,$A29,"average", 1, 0,"gramercypi1")</f>
        <v>181.09076745129002</v>
      </c>
      <c r="G28" s="87">
        <f>_xll.PICalcVal(G$5,$A28,$A29,"average", 1, 0,"gramercypi1")</f>
        <v>175.75824608291686</v>
      </c>
      <c r="H28" s="87">
        <f>_xll.PICalcVal(H$5,$A28,$A29,"average", 1, 0,"gramercypi1")</f>
        <v>180</v>
      </c>
      <c r="I28" s="87">
        <f>_xll.PICalcVal(I$5,$A28,$A29,"average", 1, 0,"gramercypi1")</f>
        <v>170</v>
      </c>
      <c r="J28" s="87">
        <f>_xll.PICalcVal(J$5,$A28,$A29,"average", 1, 0,"gramercypi1")</f>
        <v>105.76242283377329</v>
      </c>
      <c r="K28" s="114"/>
    </row>
    <row r="29" spans="1:11" ht="13.5" thickBot="1" x14ac:dyDescent="0.25">
      <c r="A29" s="128">
        <f t="shared" si="0"/>
        <v>43318.958333333278</v>
      </c>
      <c r="B29" s="92">
        <f>_xll.PICalcVal(B$5,$A29,$A30,"average", 1, 0,"gramercypi1")</f>
        <v>4612.7333333333336</v>
      </c>
      <c r="C29" s="92">
        <f>_xll.PICalcVal(C$5,$A29,$A30,"average", 1, 0,"gramercypi1")</f>
        <v>4377.7064286080149</v>
      </c>
      <c r="D29" s="92">
        <f>_xll.PICalcVal(D$5,$A29,$A30,"average", 1, 0,"gramercypi1")</f>
        <v>135.80701367467441</v>
      </c>
      <c r="E29" s="92"/>
      <c r="F29" s="92">
        <f>_xll.PICalcVal(F$5,$A29,$A30,"average", 1, 0,"gramercypi1")</f>
        <v>181.55099682415275</v>
      </c>
      <c r="G29" s="92">
        <f>_xll.PICalcVal(G$5,$A29,$A30,"average", 1, 0,"gramercypi1")</f>
        <v>175.7298698586701</v>
      </c>
      <c r="H29" s="92">
        <f>_xll.PICalcVal(H$5,$A29,$A30,"average", 1, 0,"gramercypi1")</f>
        <v>180</v>
      </c>
      <c r="I29" s="92">
        <f>_xll.PICalcVal(I$5,$A29,$A30,"average", 1, 0,"gramercypi1")</f>
        <v>170</v>
      </c>
      <c r="J29" s="92">
        <f>_xll.PICalcVal(J$5,$A29,$A30,"average", 1, 0,"gramercypi1")</f>
        <v>105.42936541403327</v>
      </c>
      <c r="K29" s="115"/>
    </row>
    <row r="30" spans="1:11" ht="13.5" thickBot="1" x14ac:dyDescent="0.25">
      <c r="A30" s="135">
        <f t="shared" si="0"/>
        <v>43318.999999999942</v>
      </c>
      <c r="B30" s="93">
        <f>AVERAGE(B6:B29)</f>
        <v>4661.906944444444</v>
      </c>
      <c r="C30" s="94">
        <f t="shared" ref="C30:J30" si="1">AVERAGE(C6:C29)</f>
        <v>4541.4240368135142</v>
      </c>
      <c r="D30" s="94">
        <f t="shared" si="1"/>
        <v>137.35687395527145</v>
      </c>
      <c r="E30" s="123" t="e">
        <f>EvapData!B34</f>
        <v>#DIV/0!</v>
      </c>
      <c r="F30" s="94">
        <f t="shared" si="1"/>
        <v>181.0709431933744</v>
      </c>
      <c r="G30" s="94">
        <f t="shared" si="1"/>
        <v>173.80216371197898</v>
      </c>
      <c r="H30" s="94">
        <f t="shared" si="1"/>
        <v>179.61344086717671</v>
      </c>
      <c r="I30" s="94">
        <f t="shared" si="1"/>
        <v>173.78750453412167</v>
      </c>
      <c r="J30" s="94">
        <f t="shared" si="1"/>
        <v>95.000724553705979</v>
      </c>
      <c r="K30" s="124" t="e">
        <f>EvapData!B40</f>
        <v>#DIV/0!</v>
      </c>
    </row>
    <row r="31" spans="1:11" x14ac:dyDescent="0.2">
      <c r="K31" s="113"/>
    </row>
  </sheetData>
  <mergeCells count="1">
    <mergeCell ref="A3:K3"/>
  </mergeCells>
  <phoneticPr fontId="14" type="noConversion"/>
  <pageMargins left="0.75" right="0.75" top="1" bottom="1" header="0.5" footer="0.5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31"/>
  <sheetViews>
    <sheetView workbookViewId="0"/>
  </sheetViews>
  <sheetFormatPr defaultColWidth="9.140625" defaultRowHeight="12.75" x14ac:dyDescent="0.2"/>
  <cols>
    <col min="1" max="1" width="13.85546875" style="58" customWidth="1"/>
    <col min="2" max="2" width="10.28515625" style="58" customWidth="1"/>
    <col min="3" max="3" width="7.7109375" style="58" bestFit="1" customWidth="1"/>
    <col min="4" max="4" width="8.42578125" style="58" bestFit="1" customWidth="1"/>
    <col min="5" max="5" width="7" style="58" bestFit="1" customWidth="1"/>
    <col min="6" max="8" width="8.28515625" style="58" bestFit="1" customWidth="1"/>
    <col min="9" max="11" width="9.28515625" style="58" bestFit="1" customWidth="1"/>
    <col min="12" max="12" width="10" style="58" bestFit="1" customWidth="1"/>
    <col min="13" max="13" width="9.28515625" style="58" bestFit="1" customWidth="1"/>
    <col min="14" max="16384" width="9.140625" style="58"/>
  </cols>
  <sheetData>
    <row r="1" spans="1:15" x14ac:dyDescent="0.2">
      <c r="A1" s="76" t="s">
        <v>1226</v>
      </c>
      <c r="B1" s="125">
        <f>PrintLogs!G1</f>
        <v>43318</v>
      </c>
    </row>
    <row r="2" spans="1:15" ht="13.5" thickBot="1" x14ac:dyDescent="0.25">
      <c r="A2" s="106"/>
    </row>
    <row r="3" spans="1:15" ht="13.5" thickBot="1" x14ac:dyDescent="0.25">
      <c r="A3" s="151" t="s">
        <v>2144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5"/>
    </row>
    <row r="4" spans="1:15" ht="64.5" thickBot="1" x14ac:dyDescent="0.25">
      <c r="A4" s="120" t="s">
        <v>1226</v>
      </c>
      <c r="B4" s="103" t="s">
        <v>574</v>
      </c>
      <c r="C4" s="104" t="s">
        <v>1263</v>
      </c>
      <c r="D4" s="104" t="s">
        <v>1264</v>
      </c>
      <c r="E4" s="104" t="s">
        <v>1265</v>
      </c>
      <c r="F4" s="104" t="s">
        <v>1266</v>
      </c>
      <c r="G4" s="104" t="s">
        <v>1233</v>
      </c>
      <c r="H4" s="104" t="s">
        <v>1267</v>
      </c>
      <c r="I4" s="104" t="s">
        <v>1268</v>
      </c>
      <c r="J4" s="104" t="s">
        <v>1269</v>
      </c>
      <c r="K4" s="104" t="s">
        <v>1270</v>
      </c>
      <c r="L4" s="104" t="s">
        <v>1271</v>
      </c>
      <c r="M4" s="104" t="s">
        <v>2155</v>
      </c>
      <c r="N4" s="104" t="s">
        <v>1272</v>
      </c>
      <c r="O4" s="105" t="s">
        <v>1273</v>
      </c>
    </row>
    <row r="5" spans="1:15" ht="39" hidden="1" thickBot="1" x14ac:dyDescent="0.25">
      <c r="A5" s="110"/>
      <c r="B5" s="83" t="s">
        <v>1274</v>
      </c>
      <c r="C5" s="83" t="s">
        <v>1259</v>
      </c>
      <c r="D5" s="83" t="s">
        <v>1275</v>
      </c>
      <c r="E5" s="83" t="s">
        <v>1276</v>
      </c>
      <c r="F5" s="83" t="s">
        <v>1277</v>
      </c>
      <c r="G5" s="83" t="s">
        <v>1245</v>
      </c>
      <c r="H5" s="83" t="s">
        <v>1278</v>
      </c>
      <c r="I5" s="83" t="s">
        <v>1279</v>
      </c>
      <c r="J5" s="83" t="s">
        <v>1280</v>
      </c>
      <c r="K5" s="83" t="s">
        <v>1281</v>
      </c>
      <c r="L5" s="83" t="s">
        <v>1282</v>
      </c>
      <c r="M5" s="83" t="s">
        <v>1283</v>
      </c>
      <c r="N5" s="83" t="s">
        <v>1284</v>
      </c>
      <c r="O5" s="102" t="s">
        <v>1285</v>
      </c>
    </row>
    <row r="6" spans="1:15" x14ac:dyDescent="0.2">
      <c r="A6" s="134">
        <f>B1</f>
        <v>43318</v>
      </c>
      <c r="B6" s="87">
        <f>_xll.PICalcVal(B$5,$A6,$A7,"average", 1, 0,"gramercypi1")</f>
        <v>5141.5851407079026</v>
      </c>
      <c r="C6" s="87">
        <f>_xll.PICalcVal(C$5,$A6,$A7,"average", 1, 0,"gramercypi1")</f>
        <v>184</v>
      </c>
      <c r="D6" s="87">
        <f>_xll.PICalcVal(D$5,$A6,$A7,"average", 1, 0,"gramercypi1")</f>
        <v>86.074516495031588</v>
      </c>
      <c r="E6" s="87">
        <f>_xll.PICalcVal(E$5,$A6,$A7,"average", 1, 0,"gramercypi1")</f>
        <v>10554.339062499999</v>
      </c>
      <c r="F6" s="87">
        <f>_xll.PICalcVal(F$5,$A6,$A7,"average", 1, 0,"gramercypi1")</f>
        <v>3360.2886353316517</v>
      </c>
      <c r="G6" s="87">
        <f>_xll.PICalcVal(G$5,$A6,$A7,"average", 1, 0,"gramercypi1")</f>
        <v>302.54284244697851</v>
      </c>
      <c r="H6" s="87">
        <f>_xll.PICalcVal(H$5,$A6,$A7,"average", 1, 0,"gramercypi1")</f>
        <v>163.12899662615908</v>
      </c>
      <c r="I6" s="87">
        <f>_xll.PICalcVal(I$5,$A6,$A7,"average", 1, 0,"gramercypi1")</f>
        <v>245.40645011156101</v>
      </c>
      <c r="J6" s="87">
        <f>_xll.PICalcVal(J$5,$A6,$A7,"average", 1, 0,"gramercypi1")</f>
        <v>263.20506664420463</v>
      </c>
      <c r="K6" s="87">
        <f>_xll.PICalcVal(K$5,$A6,$A7,"average", 1, 0,"gramercypi1")</f>
        <v>83.533978034331014</v>
      </c>
      <c r="L6" s="87">
        <f>_xll.PICalcVal(L$5,$A6,$A7,"average", 1, 0,"gramercypi1")</f>
        <v>306.41729895546047</v>
      </c>
      <c r="M6" s="87">
        <f>_xll.PICalcVal(M$5,$A6,$A7,"average", 1, 0,"gramercypi1")</f>
        <v>195</v>
      </c>
      <c r="N6" s="87">
        <f>_xll.PICalcVal(N$5,$A6,$A7,"average", 1, 0,"gramercypi1")</f>
        <v>143</v>
      </c>
      <c r="O6" s="97">
        <f>_xll.PICalcVal(O$5,$A6,$A7,"average", 1, 0,"gramercypi1")</f>
        <v>142.03485843337253</v>
      </c>
    </row>
    <row r="7" spans="1:15" x14ac:dyDescent="0.2">
      <c r="A7" s="127">
        <f>A6+(1/24)</f>
        <v>43318.041666666664</v>
      </c>
      <c r="B7" s="87">
        <f>_xll.PICalcVal(B$5,$A7,$A8,"average", 1, 0,"gramercypi1")</f>
        <v>5196.2476247725363</v>
      </c>
      <c r="C7" s="87">
        <f>_xll.PICalcVal(C$5,$A7,$A8,"average", 1, 0,"gramercypi1")</f>
        <v>184</v>
      </c>
      <c r="D7" s="87">
        <f>_xll.PICalcVal(D$5,$A7,$A8,"average", 1, 0,"gramercypi1")</f>
        <v>86.000451817729385</v>
      </c>
      <c r="E7" s="87">
        <f>_xll.PICalcVal(E$5,$A7,$A8,"average", 1, 0,"gramercypi1")</f>
        <v>10546.3265625</v>
      </c>
      <c r="F7" s="87">
        <f>_xll.PICalcVal(F$5,$A7,$A8,"average", 1, 0,"gramercypi1")</f>
        <v>3360.5254545786256</v>
      </c>
      <c r="G7" s="87">
        <f>_xll.PICalcVal(G$5,$A7,$A8,"average", 1, 0,"gramercypi1")</f>
        <v>302.52337163758477</v>
      </c>
      <c r="H7" s="87">
        <f>_xll.PICalcVal(H$5,$A7,$A8,"average", 1, 0,"gramercypi1")</f>
        <v>163.15775375974312</v>
      </c>
      <c r="I7" s="87">
        <f>_xll.PICalcVal(I$5,$A7,$A8,"average", 1, 0,"gramercypi1")</f>
        <v>245.15131115225631</v>
      </c>
      <c r="J7" s="87">
        <f>_xll.PICalcVal(J$5,$A7,$A8,"average", 1, 0,"gramercypi1")</f>
        <v>263.07751976783828</v>
      </c>
      <c r="K7" s="87">
        <f>_xll.PICalcVal(K$5,$A7,$A8,"average", 1, 0,"gramercypi1")</f>
        <v>83.33411100149425</v>
      </c>
      <c r="L7" s="87">
        <f>_xll.PICalcVal(L$5,$A7,$A8,"average", 1, 0,"gramercypi1")</f>
        <v>305.91771340327853</v>
      </c>
      <c r="M7" s="87">
        <f>_xll.PICalcVal(M$5,$A7,$A8,"average", 1, 0,"gramercypi1")</f>
        <v>195</v>
      </c>
      <c r="N7" s="87">
        <f>_xll.PICalcVal(N$5,$A7,$A8,"average", 1, 0,"gramercypi1")</f>
        <v>143</v>
      </c>
      <c r="O7" s="97">
        <f>_xll.PICalcVal(O$5,$A7,$A8,"average", 1, 0,"gramercypi1")</f>
        <v>142.14702048787049</v>
      </c>
    </row>
    <row r="8" spans="1:15" x14ac:dyDescent="0.2">
      <c r="A8" s="127">
        <f t="shared" ref="A8:A30" si="0">A7+(1/24)</f>
        <v>43318.083333333328</v>
      </c>
      <c r="B8" s="87">
        <f>_xll.PICalcVal(B$5,$A8,$A9,"average", 1, 0,"gramercypi1")</f>
        <v>5213.7508471972042</v>
      </c>
      <c r="C8" s="87">
        <f>_xll.PICalcVal(C$5,$A8,$A9,"average", 1, 0,"gramercypi1")</f>
        <v>184</v>
      </c>
      <c r="D8" s="87">
        <f>_xll.PICalcVal(D$5,$A8,$A9,"average", 1, 0,"gramercypi1")</f>
        <v>85.998887223137743</v>
      </c>
      <c r="E8" s="87">
        <f>_xll.PICalcVal(E$5,$A8,$A9,"average", 1, 0,"gramercypi1")</f>
        <v>10561.35</v>
      </c>
      <c r="F8" s="87">
        <f>_xll.PICalcVal(F$5,$A8,$A9,"average", 1, 0,"gramercypi1")</f>
        <v>3361.0057358423705</v>
      </c>
      <c r="G8" s="87">
        <f>_xll.PICalcVal(G$5,$A8,$A9,"average", 1, 0,"gramercypi1")</f>
        <v>302.76247911299771</v>
      </c>
      <c r="H8" s="87">
        <f>_xll.PICalcVal(H$5,$A8,$A9,"average", 1, 0,"gramercypi1")</f>
        <v>163.34512726305553</v>
      </c>
      <c r="I8" s="87">
        <f>_xll.PICalcVal(I$5,$A8,$A9,"average", 1, 0,"gramercypi1")</f>
        <v>245.05837855247256</v>
      </c>
      <c r="J8" s="87">
        <f>_xll.PICalcVal(J$5,$A8,$A9,"average", 1, 0,"gramercypi1")</f>
        <v>263.05049644337129</v>
      </c>
      <c r="K8" s="87">
        <f>_xll.PICalcVal(K$5,$A8,$A9,"average", 1, 0,"gramercypi1")</f>
        <v>83.134243968657472</v>
      </c>
      <c r="L8" s="87">
        <f>_xll.PICalcVal(L$5,$A8,$A9,"average", 1, 0,"gramercypi1")</f>
        <v>305.41812785109653</v>
      </c>
      <c r="M8" s="87">
        <f>_xll.PICalcVal(M$5,$A8,$A9,"average", 1, 0,"gramercypi1")</f>
        <v>195</v>
      </c>
      <c r="N8" s="87">
        <f>_xll.PICalcVal(N$5,$A8,$A9,"average", 1, 0,"gramercypi1")</f>
        <v>143</v>
      </c>
      <c r="O8" s="97">
        <f>_xll.PICalcVal(O$5,$A8,$A9,"average", 1, 0,"gramercypi1")</f>
        <v>142.27458962394394</v>
      </c>
    </row>
    <row r="9" spans="1:15" x14ac:dyDescent="0.2">
      <c r="A9" s="127">
        <f t="shared" si="0"/>
        <v>43318.124999999993</v>
      </c>
      <c r="B9" s="87">
        <f>_xll.PICalcVal(B$5,$A9,$A10,"average", 1, 0,"gramercypi1")</f>
        <v>5201.0289639473276</v>
      </c>
      <c r="C9" s="87">
        <f>_xll.PICalcVal(C$5,$A9,$A10,"average", 1, 0,"gramercypi1")</f>
        <v>184.05412894636021</v>
      </c>
      <c r="D9" s="87">
        <f>_xll.PICalcVal(D$5,$A9,$A10,"average", 1, 0,"gramercypi1")</f>
        <v>86</v>
      </c>
      <c r="E9" s="87">
        <f>_xll.PICalcVal(E$5,$A9,$A10,"average", 1, 0,"gramercypi1")</f>
        <v>10569.211458333333</v>
      </c>
      <c r="F9" s="87">
        <f>_xll.PICalcVal(F$5,$A9,$A10,"average", 1, 0,"gramercypi1")</f>
        <v>3359.9279028998644</v>
      </c>
      <c r="G9" s="87">
        <f>_xll.PICalcVal(G$5,$A9,$A10,"average", 1, 0,"gramercypi1")</f>
        <v>302.82134554486629</v>
      </c>
      <c r="H9" s="87">
        <f>_xll.PICalcVal(H$5,$A9,$A10,"average", 1, 0,"gramercypi1")</f>
        <v>163.53250076636789</v>
      </c>
      <c r="I9" s="87">
        <f>_xll.PICalcVal(I$5,$A9,$A10,"average", 1, 0,"gramercypi1")</f>
        <v>245.19593022630278</v>
      </c>
      <c r="J9" s="87">
        <f>_xll.PICalcVal(J$5,$A9,$A10,"average", 1, 0,"gramercypi1")</f>
        <v>263.17403364617041</v>
      </c>
      <c r="K9" s="87">
        <f>_xll.PICalcVal(K$5,$A9,$A10,"average", 1, 0,"gramercypi1")</f>
        <v>83.002944975757487</v>
      </c>
      <c r="L9" s="87">
        <f>_xll.PICalcVal(L$5,$A9,$A10,"average", 1, 0,"gramercypi1")</f>
        <v>305.35788087096972</v>
      </c>
      <c r="M9" s="87">
        <f>_xll.PICalcVal(M$5,$A9,$A10,"average", 1, 0,"gramercypi1")</f>
        <v>195</v>
      </c>
      <c r="N9" s="87">
        <f>_xll.PICalcVal(N$5,$A9,$A10,"average", 1, 0,"gramercypi1")</f>
        <v>143</v>
      </c>
      <c r="O9" s="97">
        <f>_xll.PICalcVal(O$5,$A9,$A10,"average", 1, 0,"gramercypi1")</f>
        <v>142.40215876001736</v>
      </c>
    </row>
    <row r="10" spans="1:15" x14ac:dyDescent="0.2">
      <c r="A10" s="127">
        <f t="shared" si="0"/>
        <v>43318.166666666657</v>
      </c>
      <c r="B10" s="87">
        <f>_xll.PICalcVal(B$5,$A10,$A11,"average", 1, 0,"gramercypi1")</f>
        <v>5197.645555088774</v>
      </c>
      <c r="C10" s="87">
        <f>_xll.PICalcVal(C$5,$A10,$A11,"average", 1, 0,"gramercypi1")</f>
        <v>185.04627309276151</v>
      </c>
      <c r="D10" s="87">
        <f>_xll.PICalcVal(D$5,$A10,$A11,"average", 1, 0,"gramercypi1")</f>
        <v>85.998333888583716</v>
      </c>
      <c r="E10" s="87">
        <f>_xll.PICalcVal(E$5,$A10,$A11,"average", 1, 0,"gramercypi1")</f>
        <v>10619.931770833333</v>
      </c>
      <c r="F10" s="87">
        <f>_xll.PICalcVal(F$5,$A10,$A11,"average", 1, 0,"gramercypi1")</f>
        <v>3359.2216798273721</v>
      </c>
      <c r="G10" s="87">
        <f>_xll.PICalcVal(G$5,$A10,$A11,"average", 1, 0,"gramercypi1")</f>
        <v>302.65083077748619</v>
      </c>
      <c r="H10" s="87">
        <f>_xll.PICalcVal(H$5,$A10,$A11,"average", 1, 0,"gramercypi1")</f>
        <v>163.7198742696803</v>
      </c>
      <c r="I10" s="87">
        <f>_xll.PICalcVal(I$5,$A10,$A11,"average", 1, 0,"gramercypi1")</f>
        <v>245.33518945228377</v>
      </c>
      <c r="J10" s="87">
        <f>_xll.PICalcVal(J$5,$A10,$A11,"average", 1, 0,"gramercypi1")</f>
        <v>263.29903758728756</v>
      </c>
      <c r="K10" s="87">
        <f>_xll.PICalcVal(K$5,$A10,$A11,"average", 1, 0,"gramercypi1")</f>
        <v>83</v>
      </c>
      <c r="L10" s="87">
        <f>_xll.PICalcVal(L$5,$A10,$A11,"average", 1, 0,"gramercypi1")</f>
        <v>306.53274564387226</v>
      </c>
      <c r="M10" s="87">
        <f>_xll.PICalcVal(M$5,$A10,$A11,"average", 1, 0,"gramercypi1")</f>
        <v>195</v>
      </c>
      <c r="N10" s="87">
        <f>_xll.PICalcVal(N$5,$A10,$A11,"average", 1, 0,"gramercypi1")</f>
        <v>143</v>
      </c>
      <c r="O10" s="97">
        <f>_xll.PICalcVal(O$5,$A10,$A11,"average", 1, 0,"gramercypi1")</f>
        <v>142.52972789609083</v>
      </c>
    </row>
    <row r="11" spans="1:15" x14ac:dyDescent="0.2">
      <c r="A11" s="127">
        <f t="shared" si="0"/>
        <v>43318.208333333321</v>
      </c>
      <c r="B11" s="87">
        <f>_xll.PICalcVal(B$5,$A11,$A12,"average", 1, 0,"gramercypi1")</f>
        <v>5188.007605882106</v>
      </c>
      <c r="C11" s="87">
        <f>_xll.PICalcVal(C$5,$A11,$A12,"average", 1, 0,"gramercypi1")</f>
        <v>184.57593975364884</v>
      </c>
      <c r="D11" s="87">
        <f>_xll.PICalcVal(D$5,$A11,$A12,"average", 1, 0,"gramercypi1")</f>
        <v>86</v>
      </c>
      <c r="E11" s="87">
        <f>_xll.PICalcVal(E$5,$A11,$A12,"average", 1, 0,"gramercypi1")</f>
        <v>10586.133333333333</v>
      </c>
      <c r="F11" s="87">
        <f>_xll.PICalcVal(F$5,$A11,$A12,"average", 1, 0,"gramercypi1")</f>
        <v>3359.775945479164</v>
      </c>
      <c r="G11" s="87">
        <f>_xll.PICalcVal(G$5,$A11,$A12,"average", 1, 0,"gramercypi1")</f>
        <v>309.38420829137164</v>
      </c>
      <c r="H11" s="87">
        <f>_xll.PICalcVal(H$5,$A11,$A12,"average", 1, 0,"gramercypi1")</f>
        <v>163.90724544252356</v>
      </c>
      <c r="I11" s="87">
        <f>_xll.PICalcVal(I$5,$A11,$A12,"average", 1, 0,"gramercypi1")</f>
        <v>245.47444867826474</v>
      </c>
      <c r="J11" s="87">
        <f>_xll.PICalcVal(J$5,$A11,$A12,"average", 1, 0,"gramercypi1")</f>
        <v>263.4240415284047</v>
      </c>
      <c r="K11" s="87">
        <f>_xll.PICalcVal(K$5,$A11,$A12,"average", 1, 0,"gramercypi1")</f>
        <v>83</v>
      </c>
      <c r="L11" s="87">
        <f>_xll.PICalcVal(L$5,$A11,$A12,"average", 1, 0,"gramercypi1")</f>
        <v>305.33854039089471</v>
      </c>
      <c r="M11" s="87">
        <f>_xll.PICalcVal(M$5,$A11,$A12,"average", 1, 0,"gramercypi1")</f>
        <v>195</v>
      </c>
      <c r="N11" s="87">
        <f>_xll.PICalcVal(N$5,$A11,$A12,"average", 1, 0,"gramercypi1")</f>
        <v>143</v>
      </c>
      <c r="O11" s="97">
        <f>_xll.PICalcVal(O$5,$A11,$A12,"average", 1, 0,"gramercypi1")</f>
        <v>142.65729703216425</v>
      </c>
    </row>
    <row r="12" spans="1:15" x14ac:dyDescent="0.2">
      <c r="A12" s="127">
        <f t="shared" si="0"/>
        <v>43318.249999999985</v>
      </c>
      <c r="B12" s="87">
        <f>_xll.PICalcVal(B$5,$A12,$A13,"average", 1, 0,"gramercypi1")</f>
        <v>4692.5803733041548</v>
      </c>
      <c r="C12" s="87">
        <f>_xll.PICalcVal(C$5,$A12,$A13,"average", 1, 0,"gramercypi1")</f>
        <v>177.88041863968678</v>
      </c>
      <c r="D12" s="87">
        <f>_xll.PICalcVal(D$5,$A12,$A13,"average", 1, 0,"gramercypi1")</f>
        <v>86</v>
      </c>
      <c r="E12" s="87">
        <f>_xll.PICalcVal(E$5,$A12,$A13,"average", 1, 0,"gramercypi1")</f>
        <v>10216.556770833333</v>
      </c>
      <c r="F12" s="87">
        <f>_xll.PICalcVal(F$5,$A12,$A13,"average", 1, 0,"gramercypi1")</f>
        <v>3360.8027150555886</v>
      </c>
      <c r="G12" s="87">
        <f>_xll.PICalcVal(G$5,$A12,$A13,"average", 1, 0,"gramercypi1")</f>
        <v>598.34266377766926</v>
      </c>
      <c r="H12" s="87">
        <f>_xll.PICalcVal(H$5,$A12,$A13,"average", 1, 0,"gramercypi1")</f>
        <v>164</v>
      </c>
      <c r="I12" s="87">
        <f>_xll.PICalcVal(I$5,$A12,$A13,"average", 1, 0,"gramercypi1")</f>
        <v>245.6137079042457</v>
      </c>
      <c r="J12" s="87">
        <f>_xll.PICalcVal(J$5,$A12,$A13,"average", 1, 0,"gramercypi1")</f>
        <v>263.54904546952184</v>
      </c>
      <c r="K12" s="87">
        <f>_xll.PICalcVal(K$5,$A12,$A13,"average", 1, 0,"gramercypi1")</f>
        <v>83</v>
      </c>
      <c r="L12" s="87">
        <f>_xll.PICalcVal(L$5,$A12,$A13,"average", 1, 0,"gramercypi1")</f>
        <v>305.26394663274903</v>
      </c>
      <c r="M12" s="87">
        <f>_xll.PICalcVal(M$5,$A12,$A13,"average", 1, 0,"gramercypi1")</f>
        <v>195</v>
      </c>
      <c r="N12" s="87">
        <f>_xll.PICalcVal(N$5,$A12,$A13,"average", 1, 0,"gramercypi1")</f>
        <v>143</v>
      </c>
      <c r="O12" s="97">
        <f>_xll.PICalcVal(O$5,$A12,$A13,"average", 1, 0,"gramercypi1")</f>
        <v>142.78486616823767</v>
      </c>
    </row>
    <row r="13" spans="1:15" x14ac:dyDescent="0.2">
      <c r="A13" s="127">
        <f t="shared" si="0"/>
        <v>43318.29166666665</v>
      </c>
      <c r="B13" s="87">
        <f>_xll.PICalcVal(B$5,$A13,$A14,"average", 1, 0,"gramercypi1")</f>
        <v>4923.0013619632127</v>
      </c>
      <c r="C13" s="87">
        <f>_xll.PICalcVal(C$5,$A13,$A14,"average", 1, 0,"gramercypi1")</f>
        <v>177.92011374738277</v>
      </c>
      <c r="D13" s="87">
        <f>_xll.PICalcVal(D$5,$A13,$A14,"average", 1, 0,"gramercypi1")</f>
        <v>85.999165831671817</v>
      </c>
      <c r="E13" s="87">
        <f>_xll.PICalcVal(E$5,$A13,$A14,"average", 1, 0,"gramercypi1")</f>
        <v>10143.905208333334</v>
      </c>
      <c r="F13" s="87">
        <f>_xll.PICalcVal(F$5,$A13,$A14,"average", 1, 0,"gramercypi1")</f>
        <v>3359.6749343983483</v>
      </c>
      <c r="G13" s="87">
        <f>_xll.PICalcVal(G$5,$A13,$A14,"average", 1, 0,"gramercypi1")</f>
        <v>627.45905657238427</v>
      </c>
      <c r="H13" s="87">
        <f>_xll.PICalcVal(H$5,$A13,$A14,"average", 1, 0,"gramercypi1")</f>
        <v>164.41801737960486</v>
      </c>
      <c r="I13" s="87">
        <f>_xll.PICalcVal(I$5,$A13,$A14,"average", 1, 0,"gramercypi1")</f>
        <v>245.75296713022669</v>
      </c>
      <c r="J13" s="87">
        <f>_xll.PICalcVal(J$5,$A13,$A14,"average", 1, 0,"gramercypi1")</f>
        <v>263.67404941063899</v>
      </c>
      <c r="K13" s="87">
        <f>_xll.PICalcVal(K$5,$A13,$A14,"average", 1, 0,"gramercypi1")</f>
        <v>83.601819926390178</v>
      </c>
      <c r="L13" s="87">
        <f>_xll.PICalcVal(L$5,$A13,$A14,"average", 1, 0,"gramercypi1")</f>
        <v>305.52929563504722</v>
      </c>
      <c r="M13" s="87">
        <f>_xll.PICalcVal(M$5,$A13,$A14,"average", 1, 0,"gramercypi1")</f>
        <v>195</v>
      </c>
      <c r="N13" s="87">
        <f>_xll.PICalcVal(N$5,$A13,$A14,"average", 1, 0,"gramercypi1")</f>
        <v>143</v>
      </c>
      <c r="O13" s="97">
        <f>_xll.PICalcVal(O$5,$A13,$A14,"average", 1, 0,"gramercypi1")</f>
        <v>142.91243530431115</v>
      </c>
    </row>
    <row r="14" spans="1:15" x14ac:dyDescent="0.2">
      <c r="A14" s="127">
        <f t="shared" si="0"/>
        <v>43318.333333333314</v>
      </c>
      <c r="B14" s="87">
        <f>_xll.PICalcVal(B$5,$A14,$A15,"average", 1, 0,"gramercypi1")</f>
        <v>5253.0051183488658</v>
      </c>
      <c r="C14" s="87">
        <f>_xll.PICalcVal(C$5,$A14,$A15,"average", 1, 0,"gramercypi1")</f>
        <v>181.21151651887749</v>
      </c>
      <c r="D14" s="87">
        <f>_xll.PICalcVal(D$5,$A14,$A15,"average", 1, 0,"gramercypi1")</f>
        <v>86.03499596913656</v>
      </c>
      <c r="E14" s="87">
        <f>_xll.PICalcVal(E$5,$A14,$A15,"average", 1, 0,"gramercypi1")</f>
        <v>9969.1442708333325</v>
      </c>
      <c r="F14" s="87">
        <f>_xll.PICalcVal(F$5,$A14,$A15,"average", 1, 0,"gramercypi1")</f>
        <v>3356.5520195012282</v>
      </c>
      <c r="G14" s="87">
        <f>_xll.PICalcVal(G$5,$A14,$A15,"average", 1, 0,"gramercypi1")</f>
        <v>825.84834027486772</v>
      </c>
      <c r="H14" s="87">
        <f>_xll.PICalcVal(H$5,$A14,$A15,"average", 1, 0,"gramercypi1")</f>
        <v>165.95468697412448</v>
      </c>
      <c r="I14" s="87">
        <f>_xll.PICalcVal(I$5,$A14,$A15,"average", 1, 0,"gramercypi1")</f>
        <v>245.89222635620766</v>
      </c>
      <c r="J14" s="87">
        <f>_xll.PICalcVal(J$5,$A14,$A15,"average", 1, 0,"gramercypi1")</f>
        <v>263.79905335175607</v>
      </c>
      <c r="K14" s="87">
        <f>_xll.PICalcVal(K$5,$A14,$A15,"average", 1, 0,"gramercypi1")</f>
        <v>85.339963732685987</v>
      </c>
      <c r="L14" s="87">
        <f>_xll.PICalcVal(L$5,$A14,$A15,"average", 1, 0,"gramercypi1")</f>
        <v>305.7946446373453</v>
      </c>
      <c r="M14" s="87">
        <f>_xll.PICalcVal(M$5,$A14,$A15,"average", 1, 0,"gramercypi1")</f>
        <v>195</v>
      </c>
      <c r="N14" s="87">
        <f>_xll.PICalcVal(N$5,$A14,$A15,"average", 1, 0,"gramercypi1")</f>
        <v>143</v>
      </c>
      <c r="O14" s="97">
        <f>_xll.PICalcVal(O$5,$A14,$A15,"average", 1, 0,"gramercypi1")</f>
        <v>142.99778357646466</v>
      </c>
    </row>
    <row r="15" spans="1:15" x14ac:dyDescent="0.2">
      <c r="A15" s="127">
        <f t="shared" si="0"/>
        <v>43318.374999999978</v>
      </c>
      <c r="B15" s="87">
        <f>_xll.PICalcVal(B$5,$A15,$A16,"average", 1, 0,"gramercypi1")</f>
        <v>4985.9307676920853</v>
      </c>
      <c r="C15" s="87">
        <f>_xll.PICalcVal(C$5,$A15,$A16,"average", 1, 0,"gramercypi1")</f>
        <v>181.93876320439585</v>
      </c>
      <c r="D15" s="87">
        <f>_xll.PICalcVal(D$5,$A15,$A16,"average", 1, 0,"gramercypi1")</f>
        <v>86</v>
      </c>
      <c r="E15" s="87">
        <f>_xll.PICalcVal(E$5,$A15,$A16,"average", 1, 0,"gramercypi1")</f>
        <v>9372.9119791666672</v>
      </c>
      <c r="F15" s="87">
        <f>_xll.PICalcVal(F$5,$A15,$A16,"average", 1, 0,"gramercypi1")</f>
        <v>3357.3486054796513</v>
      </c>
      <c r="G15" s="87">
        <f>_xll.PICalcVal(G$5,$A15,$A16,"average", 1, 0,"gramercypi1")</f>
        <v>939.03518409054766</v>
      </c>
      <c r="H15" s="87">
        <f>_xll.PICalcVal(H$5,$A15,$A16,"average", 1, 0,"gramercypi1")</f>
        <v>167.04562517871128</v>
      </c>
      <c r="I15" s="87">
        <f>_xll.PICalcVal(I$5,$A15,$A16,"average", 1, 0,"gramercypi1")</f>
        <v>246.08294715193912</v>
      </c>
      <c r="J15" s="87">
        <f>_xll.PICalcVal(J$5,$A15,$A16,"average", 1, 0,"gramercypi1")</f>
        <v>263.92405729287321</v>
      </c>
      <c r="K15" s="87">
        <f>_xll.PICalcVal(K$5,$A15,$A16,"average", 1, 0,"gramercypi1")</f>
        <v>87.579324150518701</v>
      </c>
      <c r="L15" s="87">
        <f>_xll.PICalcVal(L$5,$A15,$A16,"average", 1, 0,"gramercypi1")</f>
        <v>305.76052382115461</v>
      </c>
      <c r="M15" s="87">
        <f>_xll.PICalcVal(M$5,$A15,$A16,"average", 1, 0,"gramercypi1")</f>
        <v>195</v>
      </c>
      <c r="N15" s="87">
        <f>_xll.PICalcVal(N$5,$A15,$A16,"average", 1, 0,"gramercypi1")</f>
        <v>143</v>
      </c>
      <c r="O15" s="97">
        <f>_xll.PICalcVal(O$5,$A15,$A16,"average", 1, 0,"gramercypi1")</f>
        <v>143</v>
      </c>
    </row>
    <row r="16" spans="1:15" x14ac:dyDescent="0.2">
      <c r="A16" s="127">
        <f t="shared" si="0"/>
        <v>43318.416666666642</v>
      </c>
      <c r="B16" s="87">
        <f>_xll.PICalcVal(B$5,$A16,$A17,"average", 1, 0,"gramercypi1")</f>
        <v>5274.0816092700979</v>
      </c>
      <c r="C16" s="87">
        <f>_xll.PICalcVal(C$5,$A16,$A17,"average", 1, 0,"gramercypi1")</f>
        <v>181</v>
      </c>
      <c r="D16" s="87">
        <f>_xll.PICalcVal(D$5,$A16,$A17,"average", 1, 0,"gramercypi1")</f>
        <v>86</v>
      </c>
      <c r="E16" s="87">
        <f>_xll.PICalcVal(E$5,$A16,$A17,"average", 1, 0,"gramercypi1")</f>
        <v>9935.5109374999993</v>
      </c>
      <c r="F16" s="87">
        <f>_xll.PICalcVal(F$5,$A16,$A17,"average", 1, 0,"gramercypi1")</f>
        <v>3360.7049099705273</v>
      </c>
      <c r="G16" s="87">
        <f>_xll.PICalcVal(G$5,$A16,$A17,"average", 1, 0,"gramercypi1")</f>
        <v>645.95284895738928</v>
      </c>
      <c r="H16" s="87">
        <f>_xll.PICalcVal(H$5,$A16,$A17,"average", 1, 0,"gramercypi1")</f>
        <v>166.0984467337793</v>
      </c>
      <c r="I16" s="87">
        <f>_xll.PICalcVal(I$5,$A16,$A17,"average", 1, 0,"gramercypi1")</f>
        <v>246.41010485444588</v>
      </c>
      <c r="J16" s="87">
        <f>_xll.PICalcVal(J$5,$A16,$A17,"average", 1, 0,"gramercypi1")</f>
        <v>264.17876439624729</v>
      </c>
      <c r="K16" s="87">
        <f>_xll.PICalcVal(K$5,$A16,$A17,"average", 1, 0,"gramercypi1")</f>
        <v>91.766463351759526</v>
      </c>
      <c r="L16" s="87">
        <f>_xll.PICalcVal(L$5,$A16,$A17,"average", 1, 0,"gramercypi1")</f>
        <v>305.99979590376608</v>
      </c>
      <c r="M16" s="87">
        <f>_xll.PICalcVal(M$5,$A16,$A17,"average", 1, 0,"gramercypi1")</f>
        <v>195</v>
      </c>
      <c r="N16" s="87">
        <f>_xll.PICalcVal(N$5,$A16,$A17,"average", 1, 0,"gramercypi1")</f>
        <v>143</v>
      </c>
      <c r="O16" s="97">
        <f>_xll.PICalcVal(O$5,$A16,$A17,"average", 1, 0,"gramercypi1")</f>
        <v>143</v>
      </c>
    </row>
    <row r="17" spans="1:15" x14ac:dyDescent="0.2">
      <c r="A17" s="127">
        <f t="shared" si="0"/>
        <v>43318.458333333307</v>
      </c>
      <c r="B17" s="87">
        <f>_xll.PICalcVal(B$5,$A17,$A18,"average", 1, 0,"gramercypi1")</f>
        <v>5290.2872183066256</v>
      </c>
      <c r="C17" s="87">
        <f>_xll.PICalcVal(C$5,$A17,$A18,"average", 1, 0,"gramercypi1")</f>
        <v>181</v>
      </c>
      <c r="D17" s="87">
        <f>_xll.PICalcVal(D$5,$A17,$A18,"average", 1, 0,"gramercypi1")</f>
        <v>86.518473610348167</v>
      </c>
      <c r="E17" s="87">
        <f>_xll.PICalcVal(E$5,$A17,$A18,"average", 1, 0,"gramercypi1")</f>
        <v>10392.482291666667</v>
      </c>
      <c r="F17" s="87">
        <f>_xll.PICalcVal(F$5,$A17,$A18,"average", 1, 0,"gramercypi1")</f>
        <v>3360.9744342825147</v>
      </c>
      <c r="G17" s="87">
        <f>_xll.PICalcVal(G$5,$A17,$A18,"average", 1, 0,"gramercypi1")</f>
        <v>233.6563051393297</v>
      </c>
      <c r="H17" s="87">
        <f>_xll.PICalcVal(H$5,$A17,$A18,"average", 1, 0,"gramercypi1")</f>
        <v>164.55853812418678</v>
      </c>
      <c r="I17" s="87">
        <f>_xll.PICalcVal(I$5,$A17,$A18,"average", 1, 0,"gramercypi1")</f>
        <v>246.74458579833754</v>
      </c>
      <c r="J17" s="87">
        <f>_xll.PICalcVal(J$5,$A17,$A18,"average", 1, 0,"gramercypi1")</f>
        <v>264.62756194315034</v>
      </c>
      <c r="K17" s="87">
        <f>_xll.PICalcVal(K$5,$A17,$A18,"average", 1, 0,"gramercypi1")</f>
        <v>95.403740183216158</v>
      </c>
      <c r="L17" s="87">
        <f>_xll.PICalcVal(L$5,$A17,$A18,"average", 1, 0,"gramercypi1")</f>
        <v>306</v>
      </c>
      <c r="M17" s="87">
        <f>_xll.PICalcVal(M$5,$A17,$A18,"average", 1, 0,"gramercypi1")</f>
        <v>195</v>
      </c>
      <c r="N17" s="87">
        <f>_xll.PICalcVal(N$5,$A17,$A18,"average", 1, 0,"gramercypi1")</f>
        <v>143</v>
      </c>
      <c r="O17" s="97">
        <f>_xll.PICalcVal(O$5,$A17,$A18,"average", 1, 0,"gramercypi1")</f>
        <v>143</v>
      </c>
    </row>
    <row r="18" spans="1:15" x14ac:dyDescent="0.2">
      <c r="A18" s="127">
        <f t="shared" si="0"/>
        <v>43318.499999999971</v>
      </c>
      <c r="B18" s="87">
        <f>_xll.PICalcVal(B$5,$A18,$A19,"average", 1, 0,"gramercypi1")</f>
        <v>5348.4677416926515</v>
      </c>
      <c r="C18" s="87">
        <f>_xll.PICalcVal(C$5,$A18,$A19,"average", 1, 0,"gramercypi1")</f>
        <v>181.34623321197128</v>
      </c>
      <c r="D18" s="87">
        <f>_xll.PICalcVal(D$5,$A18,$A19,"average", 1, 0,"gramercypi1")</f>
        <v>86.068468610975472</v>
      </c>
      <c r="E18" s="87">
        <f>_xll.PICalcVal(E$5,$A18,$A19,"average", 1, 0,"gramercypi1")</f>
        <v>9983.6828124999993</v>
      </c>
      <c r="F18" s="87">
        <f>_xll.PICalcVal(F$5,$A18,$A19,"average", 1, 0,"gramercypi1")</f>
        <v>3412.9339441742882</v>
      </c>
      <c r="G18" s="87">
        <f>_xll.PICalcVal(G$5,$A18,$A19,"average", 1, 0,"gramercypi1")</f>
        <v>555.80441061862939</v>
      </c>
      <c r="H18" s="87">
        <f>_xll.PICalcVal(H$5,$A18,$A19,"average", 1, 0,"gramercypi1")</f>
        <v>168.43716999731305</v>
      </c>
      <c r="I18" s="87">
        <f>_xll.PICalcVal(I$5,$A18,$A19,"average", 1, 0,"gramercypi1")</f>
        <v>247.3829907465576</v>
      </c>
      <c r="J18" s="87">
        <f>_xll.PICalcVal(J$5,$A18,$A19,"average", 1, 0,"gramercypi1")</f>
        <v>264.90001789416425</v>
      </c>
      <c r="K18" s="87">
        <f>_xll.PICalcVal(K$5,$A18,$A19,"average", 1, 0,"gramercypi1")</f>
        <v>97</v>
      </c>
      <c r="L18" s="87">
        <f>_xll.PICalcVal(L$5,$A18,$A19,"average", 1, 0,"gramercypi1")</f>
        <v>307.12201832739248</v>
      </c>
      <c r="M18" s="87">
        <f>_xll.PICalcVal(M$5,$A18,$A19,"average", 1, 0,"gramercypi1")</f>
        <v>195.57807871646079</v>
      </c>
      <c r="N18" s="87">
        <f>_xll.PICalcVal(N$5,$A18,$A19,"average", 1, 0,"gramercypi1")</f>
        <v>143.21152022334039</v>
      </c>
      <c r="O18" s="97">
        <f>_xll.PICalcVal(O$5,$A18,$A19,"average", 1, 0,"gramercypi1")</f>
        <v>143.21781902255853</v>
      </c>
    </row>
    <row r="19" spans="1:15" x14ac:dyDescent="0.2">
      <c r="A19" s="127">
        <f t="shared" si="0"/>
        <v>43318.541666666635</v>
      </c>
      <c r="B19" s="87">
        <f>_xll.PICalcVal(B$5,$A19,$A20,"average", 1, 0,"gramercypi1")</f>
        <v>4962.212958018692</v>
      </c>
      <c r="C19" s="87">
        <f>_xll.PICalcVal(C$5,$A19,$A20,"average", 1, 0,"gramercypi1")</f>
        <v>179.88504291524276</v>
      </c>
      <c r="D19" s="87">
        <f>_xll.PICalcVal(D$5,$A19,$A20,"average", 1, 0,"gramercypi1")</f>
        <v>86</v>
      </c>
      <c r="E19" s="87">
        <f>_xll.PICalcVal(E$5,$A19,$A20,"average", 1, 0,"gramercypi1")</f>
        <v>9875.2984374999996</v>
      </c>
      <c r="F19" s="87">
        <f>_xll.PICalcVal(F$5,$A19,$A20,"average", 1, 0,"gramercypi1")</f>
        <v>3665.0033289023349</v>
      </c>
      <c r="G19" s="87">
        <f>_xll.PICalcVal(G$5,$A19,$A20,"average", 1, 0,"gramercypi1")</f>
        <v>1533.218181230578</v>
      </c>
      <c r="H19" s="87">
        <f>_xll.PICalcVal(H$5,$A19,$A20,"average", 1, 0,"gramercypi1")</f>
        <v>173.40373715839678</v>
      </c>
      <c r="I19" s="87">
        <f>_xll.PICalcVal(I$5,$A19,$A20,"average", 1, 0,"gramercypi1")</f>
        <v>248.79946624076484</v>
      </c>
      <c r="J19" s="87">
        <f>_xll.PICalcVal(J$5,$A19,$A20,"average", 1, 0,"gramercypi1")</f>
        <v>264.60697851306213</v>
      </c>
      <c r="K19" s="87">
        <f>_xll.PICalcVal(K$5,$A19,$A20,"average", 1, 0,"gramercypi1")</f>
        <v>97</v>
      </c>
      <c r="L19" s="87">
        <f>_xll.PICalcVal(L$5,$A19,$A20,"average", 1, 0,"gramercypi1")</f>
        <v>306.00298933532952</v>
      </c>
      <c r="M19" s="87">
        <f>_xll.PICalcVal(M$5,$A19,$A20,"average", 1, 0,"gramercypi1")</f>
        <v>197.69596489027822</v>
      </c>
      <c r="N19" s="87">
        <f>_xll.PICalcVal(N$5,$A19,$A20,"average", 1, 0,"gramercypi1")</f>
        <v>143.98645924762775</v>
      </c>
      <c r="O19" s="97">
        <f>_xll.PICalcVal(O$5,$A19,$A20,"average", 1, 0,"gramercypi1")</f>
        <v>144.00659049886269</v>
      </c>
    </row>
    <row r="20" spans="1:15" x14ac:dyDescent="0.2">
      <c r="A20" s="127">
        <f t="shared" si="0"/>
        <v>43318.583333333299</v>
      </c>
      <c r="B20" s="87">
        <f>_xll.PICalcVal(B$5,$A20,$A21,"average", 1, 0,"gramercypi1")</f>
        <v>3928.65214686934</v>
      </c>
      <c r="C20" s="87">
        <f>_xll.PICalcVal(C$5,$A20,$A21,"average", 1, 0,"gramercypi1")</f>
        <v>176.02321500064787</v>
      </c>
      <c r="D20" s="87">
        <f>_xll.PICalcVal(D$5,$A20,$A21,"average", 1, 0,"gramercypi1")</f>
        <v>86.039652550795722</v>
      </c>
      <c r="E20" s="87">
        <f>_xll.PICalcVal(E$5,$A20,$A21,"average", 1, 0,"gramercypi1")</f>
        <v>8135.333333333333</v>
      </c>
      <c r="F20" s="87">
        <f>_xll.PICalcVal(F$5,$A20,$A21,"average", 1, 0,"gramercypi1")</f>
        <v>3665.4527346397681</v>
      </c>
      <c r="G20" s="87">
        <f>_xll.PICalcVal(G$5,$A20,$A21,"average", 1, 0,"gramercypi1")</f>
        <v>2319.2735262300839</v>
      </c>
      <c r="H20" s="87">
        <f>_xll.PICalcVal(H$5,$A20,$A21,"average", 1, 0,"gramercypi1")</f>
        <v>176.93768685983787</v>
      </c>
      <c r="I20" s="87">
        <f>_xll.PICalcVal(I$5,$A20,$A21,"average", 1, 0,"gramercypi1")</f>
        <v>250.25489009371398</v>
      </c>
      <c r="J20" s="87">
        <f>_xll.PICalcVal(J$5,$A20,$A21,"average", 1, 0,"gramercypi1")</f>
        <v>264.27209566438114</v>
      </c>
      <c r="K20" s="87">
        <f>_xll.PICalcVal(K$5,$A20,$A21,"average", 1, 0,"gramercypi1")</f>
        <v>95.226390436124447</v>
      </c>
      <c r="L20" s="87">
        <f>_xll.PICalcVal(L$5,$A20,$A21,"average", 1, 0,"gramercypi1")</f>
        <v>304.35305339161874</v>
      </c>
      <c r="M20" s="87">
        <f>_xll.PICalcVal(M$5,$A20,$A21,"average", 1, 0,"gramercypi1")</f>
        <v>198.69630468973915</v>
      </c>
      <c r="N20" s="87">
        <f>_xll.PICalcVal(N$5,$A20,$A21,"average", 1, 0,"gramercypi1")</f>
        <v>144.44255342135295</v>
      </c>
      <c r="O20" s="97">
        <f>_xll.PICalcVal(O$5,$A20,$A21,"average", 1, 0,"gramercypi1")</f>
        <v>144.31799377232267</v>
      </c>
    </row>
    <row r="21" spans="1:15" x14ac:dyDescent="0.2">
      <c r="A21" s="127">
        <f>A20+(1/24)</f>
        <v>43318.624999999964</v>
      </c>
      <c r="B21" s="87">
        <f>_xll.PICalcVal(B$5,$A21,$A22,"average", 1, 0,"gramercypi1")</f>
        <v>2300.2594072329348</v>
      </c>
      <c r="C21" s="87">
        <f>_xll.PICalcVal(C$5,$A21,$A22,"average", 1, 0,"gramercypi1")</f>
        <v>172.49274643111457</v>
      </c>
      <c r="D21" s="87">
        <f>_xll.PICalcVal(D$5,$A21,$A22,"average", 1, 0,"gramercypi1")</f>
        <v>86.188874246035866</v>
      </c>
      <c r="E21" s="87">
        <f>_xll.PICalcVal(E$5,$A21,$A22,"average", 1, 0,"gramercypi1")</f>
        <v>7587.4619791666664</v>
      </c>
      <c r="F21" s="87">
        <f>_xll.PICalcVal(F$5,$A21,$A22,"average", 1, 0,"gramercypi1")</f>
        <v>3454.440268640893</v>
      </c>
      <c r="G21" s="87">
        <f>_xll.PICalcVal(G$5,$A21,$A22,"average", 1, 0,"gramercypi1")</f>
        <v>2399.3451698185595</v>
      </c>
      <c r="H21" s="87">
        <f>_xll.PICalcVal(H$5,$A21,$A22,"average", 1, 0,"gramercypi1")</f>
        <v>167.70360160623662</v>
      </c>
      <c r="I21" s="87">
        <f>_xll.PICalcVal(I$5,$A21,$A22,"average", 1, 0,"gramercypi1")</f>
        <v>246.68691312228631</v>
      </c>
      <c r="J21" s="87">
        <f>_xll.PICalcVal(J$5,$A21,$A22,"average", 1, 0,"gramercypi1")</f>
        <v>263.66231236544877</v>
      </c>
      <c r="K21" s="87">
        <f>_xll.PICalcVal(K$5,$A21,$A22,"average", 1, 0,"gramercypi1")</f>
        <v>88.609514179782821</v>
      </c>
      <c r="L21" s="87">
        <f>_xll.PICalcVal(L$5,$A21,$A22,"average", 1, 0,"gramercypi1")</f>
        <v>305.19777533710828</v>
      </c>
      <c r="M21" s="87">
        <f>_xll.PICalcVal(M$5,$A21,$A22,"average", 1, 0,"gramercypi1")</f>
        <v>194.34147273133019</v>
      </c>
      <c r="N21" s="87">
        <f>_xll.PICalcVal(N$5,$A21,$A22,"average", 1, 0,"gramercypi1")</f>
        <v>141.91509085155363</v>
      </c>
      <c r="O21" s="97">
        <f>_xll.PICalcVal(O$5,$A21,$A22,"average", 1, 0,"gramercypi1")</f>
        <v>141.27027470632919</v>
      </c>
    </row>
    <row r="22" spans="1:15" x14ac:dyDescent="0.2">
      <c r="A22" s="127">
        <f t="shared" si="0"/>
        <v>43318.666666666628</v>
      </c>
      <c r="B22" s="87">
        <f>_xll.PICalcVal(B$5,$A22,$A23,"average", 1, 0,"gramercypi1")</f>
        <v>4725.591803348163</v>
      </c>
      <c r="C22" s="87">
        <f>_xll.PICalcVal(C$5,$A22,$A23,"average", 1, 0,"gramercypi1")</f>
        <v>178.2786769388392</v>
      </c>
      <c r="D22" s="87">
        <f>_xll.PICalcVal(D$5,$A22,$A23,"average", 1, 0,"gramercypi1")</f>
        <v>86.541893616715498</v>
      </c>
      <c r="E22" s="87">
        <f>_xll.PICalcVal(E$5,$A22,$A23,"average", 1, 0,"gramercypi1")</f>
        <v>8185.2375000000002</v>
      </c>
      <c r="F22" s="87">
        <f>_xll.PICalcVal(F$5,$A22,$A23,"average", 1, 0,"gramercypi1")</f>
        <v>3323.0567762147543</v>
      </c>
      <c r="G22" s="87">
        <f>_xll.PICalcVal(G$5,$A22,$A23,"average", 1, 0,"gramercypi1")</f>
        <v>2500.778763157658</v>
      </c>
      <c r="H22" s="87">
        <f>_xll.PICalcVal(H$5,$A22,$A23,"average", 1, 0,"gramercypi1")</f>
        <v>176.57676288743667</v>
      </c>
      <c r="I22" s="87">
        <f>_xll.PICalcVal(I$5,$A22,$A23,"average", 1, 0,"gramercypi1")</f>
        <v>250.40179075603589</v>
      </c>
      <c r="J22" s="87">
        <f>_xll.PICalcVal(J$5,$A22,$A23,"average", 1, 0,"gramercypi1")</f>
        <v>266.37840947812487</v>
      </c>
      <c r="K22" s="87">
        <f>_xll.PICalcVal(K$5,$A22,$A23,"average", 1, 0,"gramercypi1")</f>
        <v>85.982066846483661</v>
      </c>
      <c r="L22" s="87">
        <f>_xll.PICalcVal(L$5,$A22,$A23,"average", 1, 0,"gramercypi1")</f>
        <v>306</v>
      </c>
      <c r="M22" s="87">
        <f>_xll.PICalcVal(M$5,$A22,$A23,"average", 1, 0,"gramercypi1")</f>
        <v>198.89384367895164</v>
      </c>
      <c r="N22" s="87">
        <f>_xll.PICalcVal(N$5,$A22,$A23,"average", 1, 0,"gramercypi1")</f>
        <v>145.30484786055271</v>
      </c>
      <c r="O22" s="97">
        <f>_xll.PICalcVal(O$5,$A22,$A23,"average", 1, 0,"gramercypi1")</f>
        <v>145.05279877784233</v>
      </c>
    </row>
    <row r="23" spans="1:15" x14ac:dyDescent="0.2">
      <c r="A23" s="127">
        <f t="shared" si="0"/>
        <v>43318.708333333292</v>
      </c>
      <c r="B23" s="87">
        <f>_xll.PICalcVal(B$5,$A23,$A24,"average", 1, 0,"gramercypi1")</f>
        <v>3252.4589948859598</v>
      </c>
      <c r="C23" s="87">
        <f>_xll.PICalcVal(C$5,$A23,$A24,"average", 1, 0,"gramercypi1")</f>
        <v>171.10375160809056</v>
      </c>
      <c r="D23" s="87">
        <f>_xll.PICalcVal(D$5,$A23,$A24,"average", 1, 0,"gramercypi1")</f>
        <v>86.208512934691612</v>
      </c>
      <c r="E23" s="87">
        <f>_xll.PICalcVal(E$5,$A23,$A24,"average", 1, 0,"gramercypi1")</f>
        <v>7796.1385416666662</v>
      </c>
      <c r="F23" s="87">
        <f>_xll.PICalcVal(F$5,$A23,$A24,"average", 1, 0,"gramercypi1")</f>
        <v>3325.3369889905748</v>
      </c>
      <c r="G23" s="87">
        <f>_xll.PICalcVal(G$5,$A23,$A24,"average", 1, 0,"gramercypi1")</f>
        <v>2750.3290548790578</v>
      </c>
      <c r="H23" s="87">
        <f>_xll.PICalcVal(H$5,$A23,$A24,"average", 1, 0,"gramercypi1")</f>
        <v>175.50908661939141</v>
      </c>
      <c r="I23" s="87">
        <f>_xll.PICalcVal(I$5,$A23,$A24,"average", 1, 0,"gramercypi1")</f>
        <v>250.81981391464012</v>
      </c>
      <c r="J23" s="87">
        <f>_xll.PICalcVal(J$5,$A23,$A24,"average", 1, 0,"gramercypi1")</f>
        <v>266.81971316610765</v>
      </c>
      <c r="K23" s="87">
        <f>_xll.PICalcVal(K$5,$A23,$A24,"average", 1, 0,"gramercypi1")</f>
        <v>87.618915387720207</v>
      </c>
      <c r="L23" s="87">
        <f>_xll.PICalcVal(L$5,$A23,$A24,"average", 1, 0,"gramercypi1")</f>
        <v>306</v>
      </c>
      <c r="M23" s="87">
        <f>_xll.PICalcVal(M$5,$A23,$A24,"average", 1, 0,"gramercypi1")</f>
        <v>196.61449181026882</v>
      </c>
      <c r="N23" s="87">
        <f>_xll.PICalcVal(N$5,$A23,$A24,"average", 1, 0,"gramercypi1")</f>
        <v>143.90147842432052</v>
      </c>
      <c r="O23" s="97">
        <f>_xll.PICalcVal(O$5,$A23,$A24,"average", 1, 0,"gramercypi1")</f>
        <v>142.91133580153019</v>
      </c>
    </row>
    <row r="24" spans="1:15" x14ac:dyDescent="0.2">
      <c r="A24" s="127">
        <f t="shared" si="0"/>
        <v>43318.749999999956</v>
      </c>
      <c r="B24" s="87">
        <f>_xll.PICalcVal(B$5,$A24,$A25,"average", 1, 0,"gramercypi1")</f>
        <v>3568.88088501936</v>
      </c>
      <c r="C24" s="87">
        <f>_xll.PICalcVal(C$5,$A24,$A25,"average", 1, 0,"gramercypi1")</f>
        <v>171.54964649152862</v>
      </c>
      <c r="D24" s="87">
        <f>_xll.PICalcVal(D$5,$A24,$A25,"average", 1, 0,"gramercypi1")</f>
        <v>86.093571651133985</v>
      </c>
      <c r="E24" s="87">
        <f>_xll.PICalcVal(E$5,$A24,$A25,"average", 1, 0,"gramercypi1")</f>
        <v>7739.6229166666662</v>
      </c>
      <c r="F24" s="87">
        <f>_xll.PICalcVal(F$5,$A24,$A25,"average", 1, 0,"gramercypi1")</f>
        <v>3380.1652852662373</v>
      </c>
      <c r="G24" s="87">
        <f>_xll.PICalcVal(G$5,$A24,$A25,"average", 1, 0,"gramercypi1")</f>
        <v>2759.5618052549062</v>
      </c>
      <c r="H24" s="87">
        <f>_xll.PICalcVal(H$5,$A24,$A25,"average", 1, 0,"gramercypi1")</f>
        <v>175.67411988816383</v>
      </c>
      <c r="I24" s="87">
        <f>_xll.PICalcVal(I$5,$A24,$A25,"average", 1, 0,"gramercypi1")</f>
        <v>250.27080393519049</v>
      </c>
      <c r="J24" s="87">
        <f>_xll.PICalcVal(J$5,$A24,$A25,"average", 1, 0,"gramercypi1")</f>
        <v>266.54866991126232</v>
      </c>
      <c r="K24" s="87">
        <f>_xll.PICalcVal(K$5,$A24,$A25,"average", 1, 0,"gramercypi1")</f>
        <v>89.262322996285789</v>
      </c>
      <c r="L24" s="87">
        <f>_xll.PICalcVal(L$5,$A24,$A25,"average", 1, 0,"gramercypi1")</f>
        <v>306</v>
      </c>
      <c r="M24" s="87">
        <f>_xll.PICalcVal(M$5,$A24,$A25,"average", 1, 0,"gramercypi1")</f>
        <v>196.28261201019083</v>
      </c>
      <c r="N24" s="87">
        <f>_xll.PICalcVal(N$5,$A24,$A25,"average", 1, 0,"gramercypi1")</f>
        <v>142.81316361884919</v>
      </c>
      <c r="O24" s="97">
        <f>_xll.PICalcVal(O$5,$A24,$A25,"average", 1, 0,"gramercypi1")</f>
        <v>142.31181627381372</v>
      </c>
    </row>
    <row r="25" spans="1:15" x14ac:dyDescent="0.2">
      <c r="A25" s="127">
        <f t="shared" si="0"/>
        <v>43318.791666666621</v>
      </c>
      <c r="B25" s="87">
        <f>_xll.PICalcVal(B$5,$A25,$A26,"average", 1, 0,"gramercypi1")</f>
        <v>4120.0619171683056</v>
      </c>
      <c r="C25" s="87">
        <f>_xll.PICalcVal(C$5,$A25,$A26,"average", 1, 0,"gramercypi1")</f>
        <v>174.85467482011939</v>
      </c>
      <c r="D25" s="87">
        <f>_xll.PICalcVal(D$5,$A25,$A26,"average", 1, 0,"gramercypi1")</f>
        <v>86</v>
      </c>
      <c r="E25" s="87">
        <f>_xll.PICalcVal(E$5,$A25,$A26,"average", 1, 0,"gramercypi1")</f>
        <v>7726.263020833333</v>
      </c>
      <c r="F25" s="87">
        <f>_xll.PICalcVal(F$5,$A25,$A26,"average", 1, 0,"gramercypi1")</f>
        <v>3358.6779162089028</v>
      </c>
      <c r="G25" s="87">
        <f>_xll.PICalcVal(G$5,$A25,$A26,"average", 1, 0,"gramercypi1")</f>
        <v>2811.1608456672334</v>
      </c>
      <c r="H25" s="87">
        <f>_xll.PICalcVal(H$5,$A25,$A26,"average", 1, 0,"gramercypi1")</f>
        <v>177.66221879097591</v>
      </c>
      <c r="I25" s="87">
        <f>_xll.PICalcVal(I$5,$A25,$A26,"average", 1, 0,"gramercypi1")</f>
        <v>251.23975186198993</v>
      </c>
      <c r="J25" s="87">
        <f>_xll.PICalcVal(J$5,$A25,$A26,"average", 1, 0,"gramercypi1")</f>
        <v>266.17634236807277</v>
      </c>
      <c r="K25" s="87">
        <f>_xll.PICalcVal(K$5,$A25,$A26,"average", 1, 0,"gramercypi1")</f>
        <v>87.211921777822155</v>
      </c>
      <c r="L25" s="87">
        <f>_xll.PICalcVal(L$5,$A25,$A26,"average", 1, 0,"gramercypi1")</f>
        <v>306</v>
      </c>
      <c r="M25" s="87">
        <f>_xll.PICalcVal(M$5,$A25,$A26,"average", 1, 0,"gramercypi1")</f>
        <v>197.67262717370158</v>
      </c>
      <c r="N25" s="87">
        <f>_xll.PICalcVal(N$5,$A25,$A26,"average", 1, 0,"gramercypi1")</f>
        <v>142.43843260229175</v>
      </c>
      <c r="O25" s="97">
        <f>_xll.PICalcVal(O$5,$A25,$A26,"average", 1, 0,"gramercypi1")</f>
        <v>142.68650325389902</v>
      </c>
    </row>
    <row r="26" spans="1:15" x14ac:dyDescent="0.2">
      <c r="A26" s="127">
        <f t="shared" si="0"/>
        <v>43318.833333333285</v>
      </c>
      <c r="B26" s="87">
        <f>_xll.PICalcVal(B$5,$A26,$A27,"average", 1, 0,"gramercypi1")</f>
        <v>4239.5198360798395</v>
      </c>
      <c r="C26" s="87">
        <f>_xll.PICalcVal(C$5,$A26,$A27,"average", 1, 0,"gramercypi1")</f>
        <v>176.91489027376701</v>
      </c>
      <c r="D26" s="87">
        <f>_xll.PICalcVal(D$5,$A26,$A27,"average", 1, 0,"gramercypi1")</f>
        <v>86</v>
      </c>
      <c r="E26" s="87">
        <f>_xll.PICalcVal(E$5,$A26,$A27,"average", 1, 0,"gramercypi1")</f>
        <v>6955.8218749999996</v>
      </c>
      <c r="F26" s="87">
        <f>_xll.PICalcVal(F$5,$A26,$A27,"average", 1, 0,"gramercypi1")</f>
        <v>2904.0518853484259</v>
      </c>
      <c r="G26" s="87">
        <f>_xll.PICalcVal(G$5,$A26,$A27,"average", 1, 0,"gramercypi1")</f>
        <v>2512.0297341558667</v>
      </c>
      <c r="H26" s="87">
        <f>_xll.PICalcVal(H$5,$A26,$A27,"average", 1, 0,"gramercypi1")</f>
        <v>179.60308844243227</v>
      </c>
      <c r="I26" s="87">
        <f>_xll.PICalcVal(I$5,$A26,$A27,"average", 1, 0,"gramercypi1")</f>
        <v>254.62558398725935</v>
      </c>
      <c r="J26" s="87">
        <f>_xll.PICalcVal(J$5,$A26,$A27,"average", 1, 0,"gramercypi1")</f>
        <v>267.8034089159824</v>
      </c>
      <c r="K26" s="87">
        <f>_xll.PICalcVal(K$5,$A26,$A27,"average", 1, 0,"gramercypi1")</f>
        <v>85.469523408044765</v>
      </c>
      <c r="L26" s="87">
        <f>_xll.PICalcVal(L$5,$A26,$A27,"average", 1, 0,"gramercypi1")</f>
        <v>306</v>
      </c>
      <c r="M26" s="87">
        <f>_xll.PICalcVal(M$5,$A26,$A27,"average", 1, 0,"gramercypi1")</f>
        <v>195.81483297774679</v>
      </c>
      <c r="N26" s="87">
        <f>_xll.PICalcVal(N$5,$A26,$A27,"average", 1, 0,"gramercypi1")</f>
        <v>140.37853420695737</v>
      </c>
      <c r="O26" s="97">
        <f>_xll.PICalcVal(O$5,$A26,$A27,"average", 1, 0,"gramercypi1")</f>
        <v>140.20319952788296</v>
      </c>
    </row>
    <row r="27" spans="1:15" x14ac:dyDescent="0.2">
      <c r="A27" s="127">
        <f t="shared" si="0"/>
        <v>43318.874999999949</v>
      </c>
      <c r="B27" s="87">
        <f>_xll.PICalcVal(B$5,$A27,$A28,"average", 1, 0,"gramercypi1")</f>
        <v>5059.7130387684256</v>
      </c>
      <c r="C27" s="87">
        <f>_xll.PICalcVal(C$5,$A27,$A28,"average", 1, 0,"gramercypi1")</f>
        <v>181.64654921780766</v>
      </c>
      <c r="D27" s="87">
        <f>_xll.PICalcVal(D$5,$A27,$A28,"average", 1, 0,"gramercypi1")</f>
        <v>86</v>
      </c>
      <c r="E27" s="87">
        <f>_xll.PICalcVal(E$5,$A27,$A28,"average", 1, 0,"gramercypi1")</f>
        <v>7098.9182291666666</v>
      </c>
      <c r="F27" s="87">
        <f>_xll.PICalcVal(F$5,$A27,$A28,"average", 1, 0,"gramercypi1")</f>
        <v>3239.1372733349272</v>
      </c>
      <c r="G27" s="87">
        <f>_xll.PICalcVal(G$5,$A27,$A28,"average", 1, 0,"gramercypi1")</f>
        <v>1139.3534713525009</v>
      </c>
      <c r="H27" s="87">
        <f>_xll.PICalcVal(H$5,$A27,$A28,"average", 1, 0,"gramercypi1")</f>
        <v>182.49138527098955</v>
      </c>
      <c r="I27" s="87">
        <f>_xll.PICalcVal(I$5,$A27,$A28,"average", 1, 0,"gramercypi1")</f>
        <v>259.86093949556874</v>
      </c>
      <c r="J27" s="87">
        <f>_xll.PICalcVal(J$5,$A27,$A28,"average", 1, 0,"gramercypi1")</f>
        <v>270.50830319877065</v>
      </c>
      <c r="K27" s="87">
        <f>_xll.PICalcVal(K$5,$A27,$A28,"average", 1, 0,"gramercypi1")</f>
        <v>85</v>
      </c>
      <c r="L27" s="87">
        <f>_xll.PICalcVal(L$5,$A27,$A28,"average", 1, 0,"gramercypi1")</f>
        <v>306</v>
      </c>
      <c r="M27" s="87">
        <f>_xll.PICalcVal(M$5,$A27,$A28,"average", 1, 0,"gramercypi1")</f>
        <v>192.71750381653396</v>
      </c>
      <c r="N27" s="87">
        <f>_xll.PICalcVal(N$5,$A27,$A28,"average", 1, 0,"gramercypi1")</f>
        <v>136.24601729347543</v>
      </c>
      <c r="O27" s="97">
        <f>_xll.PICalcVal(O$5,$A27,$A28,"average", 1, 0,"gramercypi1")</f>
        <v>135.35674506616678</v>
      </c>
    </row>
    <row r="28" spans="1:15" x14ac:dyDescent="0.2">
      <c r="A28" s="127">
        <f t="shared" si="0"/>
        <v>43318.916666666613</v>
      </c>
      <c r="B28" s="87">
        <f>_xll.PICalcVal(B$5,$A28,$A29,"average", 1, 0,"gramercypi1")</f>
        <v>5052.7106639265376</v>
      </c>
      <c r="C28" s="87">
        <f>_xll.PICalcVal(C$5,$A28,$A29,"average", 1, 0,"gramercypi1")</f>
        <v>180</v>
      </c>
      <c r="D28" s="87">
        <f>_xll.PICalcVal(D$5,$A28,$A29,"average", 1, 0,"gramercypi1")</f>
        <v>86</v>
      </c>
      <c r="E28" s="87">
        <f>_xll.PICalcVal(E$5,$A28,$A29,"average", 1, 0,"gramercypi1")</f>
        <v>8049.580729166667</v>
      </c>
      <c r="F28" s="87">
        <f>_xll.PICalcVal(F$5,$A28,$A29,"average", 1, 0,"gramercypi1")</f>
        <v>3434.801270289453</v>
      </c>
      <c r="G28" s="87">
        <f>_xll.PICalcVal(G$5,$A28,$A29,"average", 1, 0,"gramercypi1")</f>
        <v>947.12362597865206</v>
      </c>
      <c r="H28" s="87">
        <f>_xll.PICalcVal(H$5,$A28,$A29,"average", 1, 0,"gramercypi1")</f>
        <v>176.58941784699735</v>
      </c>
      <c r="I28" s="87">
        <f>_xll.PICalcVal(I$5,$A28,$A29,"average", 1, 0,"gramercypi1")</f>
        <v>254.07004442290076</v>
      </c>
      <c r="J28" s="87">
        <f>_xll.PICalcVal(J$5,$A28,$A29,"average", 1, 0,"gramercypi1")</f>
        <v>269.95031615235735</v>
      </c>
      <c r="K28" s="87">
        <f>_xll.PICalcVal(K$5,$A28,$A29,"average", 1, 0,"gramercypi1")</f>
        <v>85</v>
      </c>
      <c r="L28" s="87">
        <f>_xll.PICalcVal(L$5,$A28,$A29,"average", 1, 0,"gramercypi1")</f>
        <v>306</v>
      </c>
      <c r="M28" s="87">
        <f>_xll.PICalcVal(M$5,$A28,$A29,"average", 1, 0,"gramercypi1")</f>
        <v>192.92625176605708</v>
      </c>
      <c r="N28" s="87">
        <f>_xll.PICalcVal(N$5,$A28,$A29,"average", 1, 0,"gramercypi1")</f>
        <v>138.01835423165167</v>
      </c>
      <c r="O28" s="97">
        <f>_xll.PICalcVal(O$5,$A28,$A29,"average", 1, 0,"gramercypi1")</f>
        <v>136.45195339178201</v>
      </c>
    </row>
    <row r="29" spans="1:15" ht="13.5" thickBot="1" x14ac:dyDescent="0.25">
      <c r="A29" s="128">
        <f t="shared" si="0"/>
        <v>43318.958333333278</v>
      </c>
      <c r="B29" s="92">
        <f>_xll.PICalcVal(B$5,$A29,$A30,"average", 1, 0,"gramercypi1")</f>
        <v>5125.7065720548735</v>
      </c>
      <c r="C29" s="92">
        <f>_xll.PICalcVal(C$5,$A29,$A30,"average", 1, 0,"gramercypi1")</f>
        <v>180</v>
      </c>
      <c r="D29" s="92">
        <f>_xll.PICalcVal(D$5,$A29,$A30,"average", 1, 0,"gramercypi1")</f>
        <v>86</v>
      </c>
      <c r="E29" s="92">
        <f>_xll.PICalcVal(E$5,$A29,$A30,"average", 1, 0,"gramercypi1")</f>
        <v>8539.9567708333325</v>
      </c>
      <c r="F29" s="92">
        <f>_xll.PICalcVal(F$5,$A29,$A30,"average", 1, 0,"gramercypi1")</f>
        <v>3437.5024718152386</v>
      </c>
      <c r="G29" s="92">
        <f>_xll.PICalcVal(G$5,$A29,$A30,"average", 1, 0,"gramercypi1")</f>
        <v>925.12598256852891</v>
      </c>
      <c r="H29" s="92">
        <f>_xll.PICalcVal(H$5,$A29,$A30,"average", 1, 0,"gramercypi1")</f>
        <v>174.45381912483299</v>
      </c>
      <c r="I29" s="92">
        <f>_xll.PICalcVal(I$5,$A29,$A30,"average", 1, 0,"gramercypi1")</f>
        <v>252.81250490127826</v>
      </c>
      <c r="J29" s="92">
        <f>_xll.PICalcVal(J$5,$A29,$A30,"average", 1, 0,"gramercypi1")</f>
        <v>268.95086737621301</v>
      </c>
      <c r="K29" s="92">
        <f>_xll.PICalcVal(K$5,$A29,$A30,"average", 1, 0,"gramercypi1")</f>
        <v>84.686760825216851</v>
      </c>
      <c r="L29" s="92">
        <f>_xll.PICalcVal(L$5,$A29,$A30,"average", 1, 0,"gramercypi1")</f>
        <v>306</v>
      </c>
      <c r="M29" s="92">
        <f>_xll.PICalcVal(M$5,$A29,$A30,"average", 1, 0,"gramercypi1")</f>
        <v>192.74006039481299</v>
      </c>
      <c r="N29" s="92">
        <f>_xll.PICalcVal(N$5,$A29,$A30,"average", 1, 0,"gramercypi1")</f>
        <v>138.19081647148772</v>
      </c>
      <c r="O29" s="98">
        <f>_xll.PICalcVal(O$5,$A29,$A30,"average", 1, 0,"gramercypi1")</f>
        <v>136.86106887120582</v>
      </c>
    </row>
    <row r="30" spans="1:15" ht="13.5" thickBot="1" x14ac:dyDescent="0.25">
      <c r="A30" s="135">
        <f t="shared" si="0"/>
        <v>43318.999999999942</v>
      </c>
      <c r="B30" s="93">
        <f>AVERAGE(B6:B29)</f>
        <v>4718.3911729810834</v>
      </c>
      <c r="C30" s="94">
        <f t="shared" ref="C30:J30" si="1">AVERAGE(C6:C29)</f>
        <v>179.61344086717671</v>
      </c>
      <c r="D30" s="94">
        <f t="shared" si="1"/>
        <v>86.073574935249454</v>
      </c>
      <c r="E30" s="94">
        <f t="shared" si="1"/>
        <v>9214.2133246527774</v>
      </c>
      <c r="F30" s="94">
        <f t="shared" si="1"/>
        <v>3371.5567965196956</v>
      </c>
      <c r="G30" s="94">
        <f t="shared" si="1"/>
        <v>1201.920168647322</v>
      </c>
      <c r="H30" s="94">
        <f t="shared" si="1"/>
        <v>169.91287112545589</v>
      </c>
      <c r="I30" s="94">
        <f t="shared" si="1"/>
        <v>248.555989201947</v>
      </c>
      <c r="J30" s="94">
        <f t="shared" si="1"/>
        <v>265.14834010355884</v>
      </c>
      <c r="K30" s="94">
        <f>AVERAGE(K6:K29)</f>
        <v>87.24016688259546</v>
      </c>
      <c r="L30" s="94">
        <f>AVERAGE(L6:L29)</f>
        <v>305.83359792237849</v>
      </c>
      <c r="M30" s="94">
        <f>AVERAGE(M6:M29)</f>
        <v>195.415585194003</v>
      </c>
      <c r="N30" s="94">
        <f>AVERAGE(N6:N29)</f>
        <v>142.36863618556086</v>
      </c>
      <c r="O30" s="95">
        <f>AVERAGE(O6:O29)</f>
        <v>141.93286817694454</v>
      </c>
    </row>
    <row r="31" spans="1:15" x14ac:dyDescent="0.2">
      <c r="K31" s="113"/>
    </row>
  </sheetData>
  <mergeCells count="1">
    <mergeCell ref="A3:O3"/>
  </mergeCells>
  <phoneticPr fontId="14" type="noConversion"/>
  <pageMargins left="0.75" right="0.75" top="1" bottom="1" header="0.5" footer="0.5"/>
  <pageSetup scale="8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F30"/>
  <sheetViews>
    <sheetView workbookViewId="0"/>
  </sheetViews>
  <sheetFormatPr defaultColWidth="9.140625" defaultRowHeight="12.75" x14ac:dyDescent="0.2"/>
  <cols>
    <col min="1" max="1" width="13.28515625" style="58" customWidth="1"/>
    <col min="2" max="2" width="10.140625" style="58" customWidth="1"/>
    <col min="3" max="3" width="10.85546875" style="58" bestFit="1" customWidth="1"/>
    <col min="4" max="4" width="7" style="58" bestFit="1" customWidth="1"/>
    <col min="5" max="6" width="8.28515625" style="58" bestFit="1" customWidth="1"/>
    <col min="7" max="16384" width="9.140625" style="58"/>
  </cols>
  <sheetData>
    <row r="1" spans="1:6" x14ac:dyDescent="0.2">
      <c r="A1" s="76" t="s">
        <v>1226</v>
      </c>
      <c r="B1" s="125">
        <f>PrintLogs!G1</f>
        <v>43318</v>
      </c>
    </row>
    <row r="2" spans="1:6" ht="13.5" thickBot="1" x14ac:dyDescent="0.25">
      <c r="A2" s="116"/>
      <c r="B2" s="117"/>
      <c r="C2" s="118"/>
      <c r="D2" s="118"/>
      <c r="E2" s="118"/>
      <c r="F2" s="118"/>
    </row>
    <row r="3" spans="1:6" ht="13.5" thickBot="1" x14ac:dyDescent="0.25">
      <c r="A3" s="151" t="s">
        <v>2158</v>
      </c>
      <c r="B3" s="154"/>
      <c r="C3" s="154"/>
      <c r="D3" s="154"/>
      <c r="E3" s="154"/>
      <c r="F3" s="155"/>
    </row>
    <row r="4" spans="1:6" ht="39" thickBot="1" x14ac:dyDescent="0.25">
      <c r="A4" s="121" t="s">
        <v>1226</v>
      </c>
      <c r="B4" s="103" t="s">
        <v>1286</v>
      </c>
      <c r="C4" s="104" t="s">
        <v>2160</v>
      </c>
      <c r="D4" s="122" t="s">
        <v>1292</v>
      </c>
      <c r="E4" s="104" t="s">
        <v>1293</v>
      </c>
      <c r="F4" s="105" t="s">
        <v>1287</v>
      </c>
    </row>
    <row r="5" spans="1:6" ht="13.5" hidden="1" thickBot="1" x14ac:dyDescent="0.25">
      <c r="A5" s="110"/>
      <c r="B5" s="83" t="s">
        <v>1288</v>
      </c>
      <c r="C5" s="83" t="s">
        <v>1289</v>
      </c>
      <c r="D5" s="119"/>
      <c r="E5" s="83" t="s">
        <v>1290</v>
      </c>
      <c r="F5" s="102" t="s">
        <v>1291</v>
      </c>
    </row>
    <row r="6" spans="1:6" x14ac:dyDescent="0.2">
      <c r="A6" s="126">
        <f>B1</f>
        <v>43318</v>
      </c>
      <c r="B6" s="100">
        <f>_xll.PICalcVal(B$5,$A6,$A7,"average", 1, 0,"gramercypi1")</f>
        <v>154.88961106639962</v>
      </c>
      <c r="C6" s="87">
        <f>_xll.PICalcVal(C$5,$A6,$A7,"average", 1, 0,"gramercypi1")</f>
        <v>777.32803857123781</v>
      </c>
      <c r="D6" s="87"/>
      <c r="E6" s="87">
        <f>_xll.PICalcVal(E$5,$A6,$A7,"average", 1, 0,"gramercypi1")</f>
        <v>25.840743912471865</v>
      </c>
      <c r="F6" s="97">
        <f>_xll.PICalcVal(F$5,$A6,$A7,"average", 1, 0,"gramercypi1")</f>
        <v>26.377332209802354</v>
      </c>
    </row>
    <row r="7" spans="1:6" x14ac:dyDescent="0.2">
      <c r="A7" s="127">
        <f t="shared" ref="A7:A30" si="0">A6+(1/24)</f>
        <v>43318.041666666664</v>
      </c>
      <c r="B7" s="100">
        <f>_xll.PICalcVal(B$5,$A7,$A8,"average", 1, 0,"gramercypi1")</f>
        <v>154.09286837540671</v>
      </c>
      <c r="C7" s="87">
        <f>_xll.PICalcVal(C$5,$A7,$A8,"average", 1, 0,"gramercypi1")</f>
        <v>777.11919201506453</v>
      </c>
      <c r="D7" s="87"/>
      <c r="E7" s="87">
        <f>_xll.PICalcVal(E$5,$A7,$A8,"average", 1, 0,"gramercypi1")</f>
        <v>25.794464973778037</v>
      </c>
      <c r="F7" s="97">
        <f>_xll.PICalcVal(F$5,$A7,$A8,"average", 1, 0,"gramercypi1")</f>
        <v>26.31356784012231</v>
      </c>
    </row>
    <row r="8" spans="1:6" x14ac:dyDescent="0.2">
      <c r="A8" s="127">
        <f t="shared" si="0"/>
        <v>43318.083333333328</v>
      </c>
      <c r="B8" s="100">
        <f>_xll.PICalcVal(B$5,$A8,$A9,"average", 1, 0,"gramercypi1")</f>
        <v>154.6695992772375</v>
      </c>
      <c r="C8" s="87">
        <f>_xll.PICalcVal(C$5,$A8,$A9,"average", 1, 0,"gramercypi1")</f>
        <v>777.17872615282658</v>
      </c>
      <c r="D8" s="87"/>
      <c r="E8" s="87">
        <f>_xll.PICalcVal(E$5,$A8,$A9,"average", 1, 0,"gramercypi1")</f>
        <v>25.775032327857275</v>
      </c>
      <c r="F8" s="97">
        <f>_xll.PICalcVal(F$5,$A8,$A9,"average", 1, 0,"gramercypi1")</f>
        <v>26.229698886982597</v>
      </c>
    </row>
    <row r="9" spans="1:6" x14ac:dyDescent="0.2">
      <c r="A9" s="127">
        <f t="shared" si="0"/>
        <v>43318.124999999993</v>
      </c>
      <c r="B9" s="100">
        <f>_xll.PICalcVal(B$5,$A9,$A10,"average", 1, 0,"gramercypi1")</f>
        <v>154.2164441742184</v>
      </c>
      <c r="C9" s="87">
        <f>_xll.PICalcVal(C$5,$A9,$A10,"average", 1, 0,"gramercypi1")</f>
        <v>777.40609479251054</v>
      </c>
      <c r="D9" s="87"/>
      <c r="E9" s="87">
        <f>_xll.PICalcVal(E$5,$A9,$A10,"average", 1, 0,"gramercypi1")</f>
        <v>25.784992560626545</v>
      </c>
      <c r="F9" s="97">
        <f>_xll.PICalcVal(F$5,$A9,$A10,"average", 1, 0,"gramercypi1")</f>
        <v>26.132565139766584</v>
      </c>
    </row>
    <row r="10" spans="1:6" x14ac:dyDescent="0.2">
      <c r="A10" s="127">
        <f t="shared" si="0"/>
        <v>43318.166666666657</v>
      </c>
      <c r="B10" s="100">
        <f>_xll.PICalcVal(B$5,$A10,$A11,"average", 1, 0,"gramercypi1")</f>
        <v>154.19511196198059</v>
      </c>
      <c r="C10" s="87">
        <f>_xll.PICalcVal(C$5,$A10,$A11,"average", 1, 0,"gramercypi1")</f>
        <v>777.12085633804929</v>
      </c>
      <c r="D10" s="87"/>
      <c r="E10" s="87">
        <f>_xll.PICalcVal(E$5,$A10,$A11,"average", 1, 0,"gramercypi1")</f>
        <v>25.815211756653142</v>
      </c>
      <c r="F10" s="97">
        <f>_xll.PICalcVal(F$5,$A10,$A11,"average", 1, 0,"gramercypi1")</f>
        <v>26.011314397680035</v>
      </c>
    </row>
    <row r="11" spans="1:6" x14ac:dyDescent="0.2">
      <c r="A11" s="127">
        <f t="shared" si="0"/>
        <v>43318.208333333321</v>
      </c>
      <c r="B11" s="100">
        <f>_xll.PICalcVal(B$5,$A11,$A12,"average", 1, 0,"gramercypi1")</f>
        <v>156.30975319864015</v>
      </c>
      <c r="C11" s="87">
        <f>_xll.PICalcVal(C$5,$A11,$A12,"average", 1, 0,"gramercypi1")</f>
        <v>777.05918107315551</v>
      </c>
      <c r="D11" s="87"/>
      <c r="E11" s="87">
        <f>_xll.PICalcVal(E$5,$A11,$A12,"average", 1, 0,"gramercypi1")</f>
        <v>25.846272449475467</v>
      </c>
      <c r="F11" s="97">
        <f>_xll.PICalcVal(F$5,$A11,$A12,"average", 1, 0,"gramercypi1")</f>
        <v>25.988239720548499</v>
      </c>
    </row>
    <row r="12" spans="1:6" x14ac:dyDescent="0.2">
      <c r="A12" s="127">
        <f t="shared" si="0"/>
        <v>43318.249999999985</v>
      </c>
      <c r="B12" s="100">
        <f>_xll.PICalcVal(B$5,$A12,$A13,"average", 1, 0,"gramercypi1")</f>
        <v>154.29535770142641</v>
      </c>
      <c r="C12" s="87">
        <f>_xll.PICalcVal(C$5,$A12,$A13,"average", 1, 0,"gramercypi1")</f>
        <v>776.74908708745966</v>
      </c>
      <c r="D12" s="87"/>
      <c r="E12" s="87">
        <f>_xll.PICalcVal(E$5,$A12,$A13,"average", 1, 0,"gramercypi1")</f>
        <v>25.870979317655788</v>
      </c>
      <c r="F12" s="97">
        <f>_xll.PICalcVal(F$5,$A12,$A13,"average", 1, 0,"gramercypi1")</f>
        <v>25.970607839571592</v>
      </c>
    </row>
    <row r="13" spans="1:6" x14ac:dyDescent="0.2">
      <c r="A13" s="127">
        <f t="shared" si="0"/>
        <v>43318.29166666665</v>
      </c>
      <c r="B13" s="100">
        <f>_xll.PICalcVal(B$5,$A13,$A14,"average", 1, 0,"gramercypi1")</f>
        <v>155.04432657157969</v>
      </c>
      <c r="C13" s="87">
        <f>_xll.PICalcVal(C$5,$A13,$A14,"average", 1, 0,"gramercypi1")</f>
        <v>777.09003220916566</v>
      </c>
      <c r="D13" s="87"/>
      <c r="E13" s="87">
        <f>_xll.PICalcVal(E$5,$A13,$A14,"average", 1, 0,"gramercypi1")</f>
        <v>25.732251284424621</v>
      </c>
      <c r="F13" s="97">
        <f>_xll.PICalcVal(F$5,$A13,$A14,"average", 1, 0,"gramercypi1")</f>
        <v>25.814418963094667</v>
      </c>
    </row>
    <row r="14" spans="1:6" x14ac:dyDescent="0.2">
      <c r="A14" s="127">
        <f t="shared" si="0"/>
        <v>43318.333333333314</v>
      </c>
      <c r="B14" s="100">
        <f>_xll.PICalcVal(B$5,$A14,$A15,"average", 1, 0,"gramercypi1")</f>
        <v>153.47795404093941</v>
      </c>
      <c r="C14" s="87">
        <f>_xll.PICalcVal(C$5,$A14,$A15,"average", 1, 0,"gramercypi1")</f>
        <v>774.45239366481894</v>
      </c>
      <c r="D14" s="87"/>
      <c r="E14" s="87">
        <f>_xll.PICalcVal(E$5,$A14,$A15,"average", 1, 0,"gramercypi1")</f>
        <v>25.617319358060833</v>
      </c>
      <c r="F14" s="97">
        <f>_xll.PICalcVal(F$5,$A14,$A15,"average", 1, 0,"gramercypi1")</f>
        <v>26.023138395002892</v>
      </c>
    </row>
    <row r="15" spans="1:6" x14ac:dyDescent="0.2">
      <c r="A15" s="127">
        <f t="shared" si="0"/>
        <v>43318.374999999978</v>
      </c>
      <c r="B15" s="100">
        <f>_xll.PICalcVal(B$5,$A15,$A16,"average", 1, 0,"gramercypi1")</f>
        <v>152.85081213898607</v>
      </c>
      <c r="C15" s="87">
        <f>_xll.PICalcVal(C$5,$A15,$A16,"average", 1, 0,"gramercypi1")</f>
        <v>773.83238123016497</v>
      </c>
      <c r="D15" s="87"/>
      <c r="E15" s="87">
        <f>_xll.PICalcVal(E$5,$A15,$A16,"average", 1, 0,"gramercypi1")</f>
        <v>25.47651115603194</v>
      </c>
      <c r="F15" s="97">
        <f>_xll.PICalcVal(F$5,$A15,$A16,"average", 1, 0,"gramercypi1")</f>
        <v>25.78730218708348</v>
      </c>
    </row>
    <row r="16" spans="1:6" x14ac:dyDescent="0.2">
      <c r="A16" s="127">
        <f t="shared" si="0"/>
        <v>43318.416666666642</v>
      </c>
      <c r="B16" s="100">
        <f>_xll.PICalcVal(B$5,$A16,$A17,"average", 1, 0,"gramercypi1")</f>
        <v>151.84473479747294</v>
      </c>
      <c r="C16" s="87">
        <f>_xll.PICalcVal(C$5,$A16,$A17,"average", 1, 0,"gramercypi1")</f>
        <v>774.04094180867696</v>
      </c>
      <c r="D16" s="87"/>
      <c r="E16" s="87">
        <f>_xll.PICalcVal(E$5,$A16,$A17,"average", 1, 0,"gramercypi1")</f>
        <v>25.347648320430018</v>
      </c>
      <c r="F16" s="97">
        <f>_xll.PICalcVal(F$5,$A16,$A17,"average", 1, 0,"gramercypi1")</f>
        <v>25.725655635242287</v>
      </c>
    </row>
    <row r="17" spans="1:6" x14ac:dyDescent="0.2">
      <c r="A17" s="127">
        <f t="shared" si="0"/>
        <v>43318.458333333307</v>
      </c>
      <c r="B17" s="100">
        <f>_xll.PICalcVal(B$5,$A17,$A18,"average", 1, 0,"gramercypi1")</f>
        <v>151.58586278067696</v>
      </c>
      <c r="C17" s="87">
        <f>_xll.PICalcVal(C$5,$A17,$A18,"average", 1, 0,"gramercypi1")</f>
        <v>771.11067458057198</v>
      </c>
      <c r="D17" s="87"/>
      <c r="E17" s="87">
        <f>_xll.PICalcVal(E$5,$A17,$A18,"average", 1, 0,"gramercypi1")</f>
        <v>25.473816782865899</v>
      </c>
      <c r="F17" s="97">
        <f>_xll.PICalcVal(F$5,$A17,$A18,"average", 1, 0,"gramercypi1")</f>
        <v>26.15387088117081</v>
      </c>
    </row>
    <row r="18" spans="1:6" x14ac:dyDescent="0.2">
      <c r="A18" s="127">
        <f t="shared" si="0"/>
        <v>43318.499999999971</v>
      </c>
      <c r="B18" s="100">
        <f>_xll.PICalcVal(B$5,$A18,$A19,"average", 1, 0,"gramercypi1")</f>
        <v>138.93956164039528</v>
      </c>
      <c r="C18" s="87">
        <f>_xll.PICalcVal(C$5,$A18,$A19,"average", 1, 0,"gramercypi1")</f>
        <v>761.4680529411329</v>
      </c>
      <c r="D18" s="87"/>
      <c r="E18" s="87">
        <f>_xll.PICalcVal(E$5,$A18,$A19,"average", 1, 0,"gramercypi1")</f>
        <v>25.431331026246745</v>
      </c>
      <c r="F18" s="97">
        <f>_xll.PICalcVal(F$5,$A18,$A19,"average", 1, 0,"gramercypi1")</f>
        <v>26.066412921265929</v>
      </c>
    </row>
    <row r="19" spans="1:6" x14ac:dyDescent="0.2">
      <c r="A19" s="127">
        <f t="shared" si="0"/>
        <v>43318.541666666635</v>
      </c>
      <c r="B19" s="100">
        <f>_xll.PICalcVal(B$5,$A19,$A20,"average", 1, 0,"gramercypi1")</f>
        <v>137.04351237984548</v>
      </c>
      <c r="C19" s="87">
        <f>_xll.PICalcVal(C$5,$A19,$A20,"average", 1, 0,"gramercypi1")</f>
        <v>762.30370301869323</v>
      </c>
      <c r="D19" s="87"/>
      <c r="E19" s="87">
        <f>_xll.PICalcVal(E$5,$A19,$A20,"average", 1, 0,"gramercypi1")</f>
        <v>25.345374542668669</v>
      </c>
      <c r="F19" s="97">
        <f>_xll.PICalcVal(F$5,$A19,$A20,"average", 1, 0,"gramercypi1")</f>
        <v>25.942389499841148</v>
      </c>
    </row>
    <row r="20" spans="1:6" x14ac:dyDescent="0.2">
      <c r="A20" s="127">
        <f t="shared" si="0"/>
        <v>43318.583333333299</v>
      </c>
      <c r="B20" s="100">
        <f>_xll.PICalcVal(B$5,$A20,$A21,"average", 1, 0,"gramercypi1")</f>
        <v>133.41165037847821</v>
      </c>
      <c r="C20" s="87">
        <f>_xll.PICalcVal(C$5,$A20,$A21,"average", 1, 0,"gramercypi1")</f>
        <v>758.98843317044521</v>
      </c>
      <c r="D20" s="87"/>
      <c r="E20" s="87">
        <f>_xll.PICalcVal(E$5,$A20,$A21,"average", 1, 0,"gramercypi1")</f>
        <v>25.364233612419177</v>
      </c>
      <c r="F20" s="97">
        <f>_xll.PICalcVal(F$5,$A20,$A21,"average", 1, 0,"gramercypi1")</f>
        <v>26.067784030841644</v>
      </c>
    </row>
    <row r="21" spans="1:6" x14ac:dyDescent="0.2">
      <c r="A21" s="127">
        <f t="shared" si="0"/>
        <v>43318.624999999964</v>
      </c>
      <c r="B21" s="100">
        <f>_xll.PICalcVal(B$5,$A21,$A22,"average", 1, 0,"gramercypi1")</f>
        <v>144.67150517737454</v>
      </c>
      <c r="C21" s="87">
        <f>_xll.PICalcVal(C$5,$A21,$A22,"average", 1, 0,"gramercypi1")</f>
        <v>769.45035714531491</v>
      </c>
      <c r="D21" s="87"/>
      <c r="E21" s="87">
        <f>_xll.PICalcVal(E$5,$A21,$A22,"average", 1, 0,"gramercypi1")</f>
        <v>25.56927885617964</v>
      </c>
      <c r="F21" s="97">
        <f>_xll.PICalcVal(F$5,$A21,$A22,"average", 1, 0,"gramercypi1")</f>
        <v>26.312774900469464</v>
      </c>
    </row>
    <row r="22" spans="1:6" x14ac:dyDescent="0.2">
      <c r="A22" s="127">
        <f t="shared" si="0"/>
        <v>43318.666666666628</v>
      </c>
      <c r="B22" s="100">
        <f>_xll.PICalcVal(B$5,$A22,$A23,"average", 1, 0,"gramercypi1")</f>
        <v>144.05616817145432</v>
      </c>
      <c r="C22" s="87">
        <f>_xll.PICalcVal(C$5,$A22,$A23,"average", 1, 0,"gramercypi1")</f>
        <v>776.74427556900753</v>
      </c>
      <c r="D22" s="87"/>
      <c r="E22" s="87">
        <f>_xll.PICalcVal(E$5,$A22,$A23,"average", 1, 0,"gramercypi1")</f>
        <v>25.368854784978282</v>
      </c>
      <c r="F22" s="97">
        <f>_xll.PICalcVal(F$5,$A22,$A23,"average", 1, 0,"gramercypi1")</f>
        <v>26.028642962730704</v>
      </c>
    </row>
    <row r="23" spans="1:6" x14ac:dyDescent="0.2">
      <c r="A23" s="127">
        <f t="shared" si="0"/>
        <v>43318.708333333292</v>
      </c>
      <c r="B23" s="100">
        <f>_xll.PICalcVal(B$5,$A23,$A24,"average", 1, 0,"gramercypi1")</f>
        <v>131.47843012918813</v>
      </c>
      <c r="C23" s="87">
        <f>_xll.PICalcVal(C$5,$A23,$A24,"average", 1, 0,"gramercypi1")</f>
        <v>753.8049647130041</v>
      </c>
      <c r="D23" s="87"/>
      <c r="E23" s="87">
        <f>_xll.PICalcVal(E$5,$A23,$A24,"average", 1, 0,"gramercypi1")</f>
        <v>25.441633588249154</v>
      </c>
      <c r="F23" s="97">
        <f>_xll.PICalcVal(F$5,$A23,$A24,"average", 1, 0,"gramercypi1")</f>
        <v>25.861290045206285</v>
      </c>
    </row>
    <row r="24" spans="1:6" x14ac:dyDescent="0.2">
      <c r="A24" s="127">
        <f t="shared" si="0"/>
        <v>43318.749999999956</v>
      </c>
      <c r="B24" s="100">
        <f>_xll.PICalcVal(B$5,$A24,$A25,"average", 1, 0,"gramercypi1")</f>
        <v>133.8300990162864</v>
      </c>
      <c r="C24" s="87">
        <f>_xll.PICalcVal(C$5,$A24,$A25,"average", 1, 0,"gramercypi1")</f>
        <v>758.31626137323008</v>
      </c>
      <c r="D24" s="87"/>
      <c r="E24" s="87">
        <f>_xll.PICalcVal(E$5,$A24,$A25,"average", 1, 0,"gramercypi1")</f>
        <v>25.428019458797433</v>
      </c>
      <c r="F24" s="97">
        <f>_xll.PICalcVal(F$5,$A24,$A25,"average", 1, 0,"gramercypi1")</f>
        <v>25.847888673228574</v>
      </c>
    </row>
    <row r="25" spans="1:6" x14ac:dyDescent="0.2">
      <c r="A25" s="127">
        <f t="shared" si="0"/>
        <v>43318.791666666621</v>
      </c>
      <c r="B25" s="100">
        <f>_xll.PICalcVal(B$5,$A25,$A26,"average", 1, 0,"gramercypi1")</f>
        <v>132.82123495845954</v>
      </c>
      <c r="C25" s="87">
        <f>_xll.PICalcVal(C$5,$A25,$A26,"average", 1, 0,"gramercypi1")</f>
        <v>755.55988288483877</v>
      </c>
      <c r="D25" s="87"/>
      <c r="E25" s="87">
        <f>_xll.PICalcVal(E$5,$A25,$A26,"average", 1, 0,"gramercypi1")</f>
        <v>25.489916352696063</v>
      </c>
      <c r="F25" s="97">
        <f>_xll.PICalcVal(F$5,$A25,$A26,"average", 1, 0,"gramercypi1")</f>
        <v>25.889104842962581</v>
      </c>
    </row>
    <row r="26" spans="1:6" x14ac:dyDescent="0.2">
      <c r="A26" s="127">
        <f t="shared" si="0"/>
        <v>43318.833333333285</v>
      </c>
      <c r="B26" s="100">
        <f>_xll.PICalcVal(B$5,$A26,$A27,"average", 1, 0,"gramercypi1")</f>
        <v>114.17018961193024</v>
      </c>
      <c r="C26" s="87">
        <f>_xll.PICalcVal(C$5,$A26,$A27,"average", 1, 0,"gramercypi1")</f>
        <v>716.65118808116711</v>
      </c>
      <c r="D26" s="87"/>
      <c r="E26" s="87">
        <f>_xll.PICalcVal(E$5,$A26,$A27,"average", 1, 0,"gramercypi1")</f>
        <v>25.716637435317057</v>
      </c>
      <c r="F26" s="97">
        <f>_xll.PICalcVal(F$5,$A26,$A27,"average", 1, 0,"gramercypi1")</f>
        <v>26.079465348345959</v>
      </c>
    </row>
    <row r="27" spans="1:6" x14ac:dyDescent="0.2">
      <c r="A27" s="127">
        <f t="shared" si="0"/>
        <v>43318.874999999949</v>
      </c>
      <c r="B27" s="100">
        <f>_xll.PICalcVal(B$5,$A27,$A28,"average", 1, 0,"gramercypi1")</f>
        <v>86.26944787654331</v>
      </c>
      <c r="C27" s="87">
        <f>_xll.PICalcVal(C$5,$A27,$A28,"average", 1, 0,"gramercypi1")</f>
        <v>641.79366602680068</v>
      </c>
      <c r="D27" s="87"/>
      <c r="E27" s="87">
        <f>_xll.PICalcVal(E$5,$A27,$A28,"average", 1, 0,"gramercypi1")</f>
        <v>26.167159045340789</v>
      </c>
      <c r="F27" s="97">
        <f>_xll.PICalcVal(F$5,$A27,$A28,"average", 1, 0,"gramercypi1")</f>
        <v>26.487388037516709</v>
      </c>
    </row>
    <row r="28" spans="1:6" x14ac:dyDescent="0.2">
      <c r="A28" s="127">
        <f t="shared" si="0"/>
        <v>43318.916666666613</v>
      </c>
      <c r="B28" s="100">
        <f>_xll.PICalcVal(B$5,$A28,$A29,"average", 1, 0,"gramercypi1")</f>
        <v>100.13682470086015</v>
      </c>
      <c r="C28" s="87">
        <f>_xll.PICalcVal(C$5,$A28,$A29,"average", 1, 0,"gramercypi1")</f>
        <v>686.2616734204106</v>
      </c>
      <c r="D28" s="87"/>
      <c r="E28" s="87">
        <f>_xll.PICalcVal(E$5,$A28,$A29,"average", 1, 0,"gramercypi1")</f>
        <v>26.085349218443561</v>
      </c>
      <c r="F28" s="97">
        <f>_xll.PICalcVal(F$5,$A28,$A29,"average", 1, 0,"gramercypi1")</f>
        <v>26.362984342714142</v>
      </c>
    </row>
    <row r="29" spans="1:6" ht="13.5" thickBot="1" x14ac:dyDescent="0.25">
      <c r="A29" s="128">
        <f t="shared" si="0"/>
        <v>43318.958333333278</v>
      </c>
      <c r="B29" s="101">
        <f>_xll.PICalcVal(B$5,$A29,$A30,"average", 1, 0,"gramercypi1")</f>
        <v>111.29441823044824</v>
      </c>
      <c r="C29" s="92">
        <f>_xll.PICalcVal(C$5,$A29,$A30,"average", 1, 0,"gramercypi1")</f>
        <v>712.3093543722407</v>
      </c>
      <c r="D29" s="92"/>
      <c r="E29" s="92">
        <f>_xll.PICalcVal(E$5,$A29,$A30,"average", 1, 0,"gramercypi1")</f>
        <v>26.01735705733579</v>
      </c>
      <c r="F29" s="98">
        <f>_xll.PICalcVal(F$5,$A29,$A30,"average", 1, 0,"gramercypi1")</f>
        <v>26.18124626251835</v>
      </c>
    </row>
    <row r="30" spans="1:6" ht="13.5" thickBot="1" x14ac:dyDescent="0.25">
      <c r="A30" s="135">
        <f t="shared" si="0"/>
        <v>43318.999999999942</v>
      </c>
      <c r="B30" s="93">
        <f>AVERAGE(B6:B29)</f>
        <v>139.81647826484286</v>
      </c>
      <c r="C30" s="94">
        <f>AVERAGE(C6:C29)</f>
        <v>756.83914217666609</v>
      </c>
      <c r="D30" s="123">
        <f>EvapData!E33</f>
        <v>5.2999999999999999E-2</v>
      </c>
      <c r="E30" s="94">
        <f>AVERAGE(E6:E29)</f>
        <v>25.658349549125159</v>
      </c>
      <c r="F30" s="95">
        <f>AVERAGE(F6:F29)</f>
        <v>26.068961831821227</v>
      </c>
    </row>
  </sheetData>
  <mergeCells count="1">
    <mergeCell ref="A3:F3"/>
  </mergeCells>
  <phoneticPr fontId="14" type="noConversion"/>
  <pageMargins left="0.75" right="0.75" top="1" bottom="1" header="0.5" footer="0.5"/>
  <pageSetup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28"/>
  <sheetViews>
    <sheetView zoomScale="95" workbookViewId="0">
      <selection activeCell="P7" sqref="P7"/>
    </sheetView>
  </sheetViews>
  <sheetFormatPr defaultRowHeight="12.75" x14ac:dyDescent="0.2"/>
  <cols>
    <col min="1" max="1" width="25" customWidth="1"/>
    <col min="2" max="5" width="8.28515625" customWidth="1"/>
    <col min="6" max="6" width="5.140625" customWidth="1"/>
    <col min="7" max="10" width="8.28515625" customWidth="1"/>
    <col min="11" max="11" width="5.85546875" bestFit="1" customWidth="1"/>
    <col min="12" max="15" width="8.28515625" customWidth="1"/>
    <col min="16" max="16" width="6.5703125" customWidth="1"/>
  </cols>
  <sheetData>
    <row r="1" spans="1:22" ht="15.75" x14ac:dyDescent="0.25">
      <c r="A1" s="7" t="s">
        <v>2248</v>
      </c>
      <c r="V1">
        <v>120</v>
      </c>
    </row>
    <row r="2" spans="1:22" ht="15.75" x14ac:dyDescent="0.25">
      <c r="A2" s="7" t="s">
        <v>2249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V2">
        <v>36</v>
      </c>
    </row>
    <row r="3" spans="1:22" ht="15" x14ac:dyDescent="0.2">
      <c r="A3" s="12">
        <f>PrintLogs!G1</f>
        <v>43318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22" ht="15.75" x14ac:dyDescent="0.25">
      <c r="A4" s="7" t="s">
        <v>2250</v>
      </c>
      <c r="B4" s="8"/>
      <c r="C4" s="9" t="s">
        <v>2256</v>
      </c>
      <c r="D4" s="9"/>
      <c r="E4" s="9"/>
      <c r="F4" s="138" t="s">
        <v>1806</v>
      </c>
      <c r="G4" s="9"/>
      <c r="H4" s="9" t="s">
        <v>2257</v>
      </c>
      <c r="I4" s="9"/>
      <c r="J4" s="9"/>
      <c r="K4" s="138" t="s">
        <v>1806</v>
      </c>
      <c r="L4" s="9"/>
      <c r="M4" s="9" t="s">
        <v>2258</v>
      </c>
      <c r="N4" s="8"/>
      <c r="O4" s="8"/>
      <c r="P4" s="138" t="s">
        <v>1806</v>
      </c>
    </row>
    <row r="5" spans="1:22" ht="15.75" x14ac:dyDescent="0.25">
      <c r="A5" s="8" t="s">
        <v>2251</v>
      </c>
      <c r="B5" s="10">
        <v>190</v>
      </c>
      <c r="C5" s="10">
        <v>190</v>
      </c>
      <c r="D5" s="10">
        <v>190</v>
      </c>
      <c r="E5" s="10">
        <v>190</v>
      </c>
      <c r="F5" s="138">
        <f>AVERAGE(B5:E5)</f>
        <v>190</v>
      </c>
      <c r="G5" s="10">
        <v>190</v>
      </c>
      <c r="H5" s="10">
        <v>190</v>
      </c>
      <c r="I5" s="10">
        <v>190</v>
      </c>
      <c r="J5" s="10">
        <v>190</v>
      </c>
      <c r="K5" s="138">
        <f>AVERAGE(G5:J5)</f>
        <v>190</v>
      </c>
      <c r="L5" s="10">
        <v>180</v>
      </c>
      <c r="M5" s="10">
        <v>180</v>
      </c>
      <c r="N5" s="10">
        <v>180</v>
      </c>
      <c r="O5" s="10">
        <v>180</v>
      </c>
      <c r="P5" s="138">
        <f>AVERAGE(L5:O5)</f>
        <v>180</v>
      </c>
    </row>
    <row r="6" spans="1:22" ht="15.75" x14ac:dyDescent="0.25">
      <c r="A6" s="8" t="s">
        <v>2252</v>
      </c>
      <c r="B6" s="10">
        <v>90</v>
      </c>
      <c r="C6" s="10">
        <v>90</v>
      </c>
      <c r="D6" s="146">
        <v>100</v>
      </c>
      <c r="E6" s="10">
        <v>100</v>
      </c>
      <c r="F6" s="138">
        <f>AVERAGE(B6:E6)</f>
        <v>95</v>
      </c>
      <c r="G6" s="10">
        <v>74</v>
      </c>
      <c r="H6" s="10">
        <v>89</v>
      </c>
      <c r="I6" s="10">
        <v>94</v>
      </c>
      <c r="J6" s="10">
        <v>94</v>
      </c>
      <c r="K6" s="138">
        <f>AVERAGE(G6:J6)</f>
        <v>87.75</v>
      </c>
      <c r="L6" s="10">
        <v>94</v>
      </c>
      <c r="M6" s="10">
        <v>94</v>
      </c>
      <c r="N6" s="10">
        <v>100</v>
      </c>
      <c r="O6" s="10">
        <v>100</v>
      </c>
      <c r="P6" s="138">
        <f>AVERAGE(L6:O6)</f>
        <v>97</v>
      </c>
    </row>
    <row r="7" spans="1:22" ht="15.75" x14ac:dyDescent="0.25">
      <c r="A7" s="8" t="s">
        <v>2253</v>
      </c>
      <c r="B7" s="10">
        <v>558</v>
      </c>
      <c r="C7" s="10">
        <v>467</v>
      </c>
      <c r="D7" s="147">
        <v>574</v>
      </c>
      <c r="E7" s="10">
        <v>614</v>
      </c>
      <c r="F7" s="138">
        <f>AVERAGE(B7:E7)</f>
        <v>553.25</v>
      </c>
      <c r="G7" s="10">
        <v>638</v>
      </c>
      <c r="H7" s="10">
        <v>557</v>
      </c>
      <c r="I7" s="10">
        <v>622</v>
      </c>
      <c r="J7" s="10">
        <v>589</v>
      </c>
      <c r="K7" s="138">
        <f>AVERAGE(G7:J7)</f>
        <v>601.5</v>
      </c>
      <c r="L7" s="10">
        <v>600</v>
      </c>
      <c r="M7" s="10">
        <v>599</v>
      </c>
      <c r="N7" s="10">
        <v>649</v>
      </c>
      <c r="O7" s="10">
        <v>635</v>
      </c>
      <c r="P7" s="138">
        <f>AVERAGE(L7:O7)</f>
        <v>620.75</v>
      </c>
    </row>
    <row r="8" spans="1:22" ht="15" x14ac:dyDescent="0.2">
      <c r="A8" s="8" t="s">
        <v>2254</v>
      </c>
      <c r="B8" s="10"/>
      <c r="C8" s="10"/>
      <c r="D8" s="10"/>
      <c r="E8" s="10">
        <v>12</v>
      </c>
      <c r="F8" s="10"/>
      <c r="G8" s="10"/>
      <c r="H8" s="10"/>
      <c r="I8" s="10"/>
      <c r="J8" s="10">
        <v>12</v>
      </c>
      <c r="K8" s="10"/>
      <c r="L8" s="10"/>
      <c r="M8" s="10"/>
      <c r="N8" s="10"/>
      <c r="O8" s="10">
        <v>12</v>
      </c>
    </row>
    <row r="9" spans="1:22" ht="15" x14ac:dyDescent="0.2">
      <c r="A9" s="8"/>
      <c r="B9" s="10"/>
      <c r="C9" s="10"/>
      <c r="D9" s="147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22" ht="15.75" x14ac:dyDescent="0.25">
      <c r="A10" s="7" t="s">
        <v>2255</v>
      </c>
      <c r="B10" s="10"/>
      <c r="C10" s="10"/>
      <c r="D10" s="147"/>
      <c r="E10" s="10"/>
      <c r="F10" s="138" t="s">
        <v>1806</v>
      </c>
      <c r="G10" s="10"/>
      <c r="H10" s="10"/>
      <c r="I10" s="10"/>
      <c r="J10" s="10"/>
      <c r="K10" s="138" t="s">
        <v>1806</v>
      </c>
      <c r="L10" s="10"/>
      <c r="M10" s="10"/>
      <c r="N10" s="10"/>
      <c r="O10" s="10"/>
      <c r="P10" s="138" t="s">
        <v>1806</v>
      </c>
    </row>
    <row r="11" spans="1:22" ht="15.75" x14ac:dyDescent="0.25">
      <c r="A11" s="8" t="s">
        <v>2251</v>
      </c>
      <c r="B11" s="10">
        <v>190</v>
      </c>
      <c r="C11" s="10">
        <v>190</v>
      </c>
      <c r="D11" s="10">
        <v>190</v>
      </c>
      <c r="E11" s="10">
        <v>190</v>
      </c>
      <c r="F11" s="138">
        <f>AVERAGE(B11:E11)</f>
        <v>190</v>
      </c>
      <c r="G11" s="10">
        <v>190</v>
      </c>
      <c r="H11" s="10">
        <v>190</v>
      </c>
      <c r="I11" s="10">
        <v>190</v>
      </c>
      <c r="J11" s="10">
        <v>190</v>
      </c>
      <c r="K11" s="138">
        <f>AVERAGE(G11:J11)</f>
        <v>190</v>
      </c>
      <c r="L11" s="10">
        <v>190</v>
      </c>
      <c r="M11" s="10">
        <v>190</v>
      </c>
      <c r="N11" s="10">
        <v>190</v>
      </c>
      <c r="O11" s="10">
        <v>190</v>
      </c>
      <c r="P11" s="138">
        <f>AVERAGE(L11:O11)</f>
        <v>190</v>
      </c>
    </row>
    <row r="12" spans="1:22" ht="15.75" x14ac:dyDescent="0.25">
      <c r="A12" s="8" t="s">
        <v>2252</v>
      </c>
      <c r="B12" s="10">
        <v>100</v>
      </c>
      <c r="C12" s="10">
        <v>100</v>
      </c>
      <c r="D12" s="147">
        <v>100</v>
      </c>
      <c r="E12" s="10">
        <v>100</v>
      </c>
      <c r="F12" s="138">
        <f>AVERAGE(B12:E12)</f>
        <v>100</v>
      </c>
      <c r="G12" s="10">
        <v>95</v>
      </c>
      <c r="H12" s="10">
        <v>95</v>
      </c>
      <c r="I12" s="10">
        <v>95</v>
      </c>
      <c r="J12" s="10">
        <v>95</v>
      </c>
      <c r="K12" s="138">
        <f>AVERAGE(G12:J12)</f>
        <v>95</v>
      </c>
      <c r="L12" s="10">
        <v>100</v>
      </c>
      <c r="M12" s="10">
        <v>100</v>
      </c>
      <c r="N12" s="10">
        <v>100</v>
      </c>
      <c r="O12" s="10">
        <v>100</v>
      </c>
      <c r="P12" s="138">
        <f>AVERAGE(L12:O12)</f>
        <v>100</v>
      </c>
    </row>
    <row r="13" spans="1:22" ht="15.75" x14ac:dyDescent="0.25">
      <c r="A13" s="8" t="s">
        <v>2253</v>
      </c>
      <c r="B13" s="10">
        <v>509</v>
      </c>
      <c r="C13" s="10">
        <v>525</v>
      </c>
      <c r="D13" s="10">
        <v>536</v>
      </c>
      <c r="E13" s="10">
        <v>497</v>
      </c>
      <c r="F13" s="138">
        <f>AVERAGE(B13:E13)</f>
        <v>516.75</v>
      </c>
      <c r="G13" s="10">
        <v>587</v>
      </c>
      <c r="H13" s="10">
        <v>593</v>
      </c>
      <c r="I13" s="10">
        <v>555</v>
      </c>
      <c r="J13" s="10">
        <v>544</v>
      </c>
      <c r="K13" s="138">
        <f>AVERAGE(G13:J13)</f>
        <v>569.75</v>
      </c>
      <c r="L13" s="10">
        <v>605</v>
      </c>
      <c r="M13" s="10">
        <v>608</v>
      </c>
      <c r="N13" s="10">
        <v>610</v>
      </c>
      <c r="O13" s="10">
        <v>591</v>
      </c>
      <c r="P13" s="138">
        <f>AVERAGE(L13:O13)</f>
        <v>603.5</v>
      </c>
    </row>
    <row r="14" spans="1:22" ht="15" x14ac:dyDescent="0.2">
      <c r="A14" s="8" t="s">
        <v>2254</v>
      </c>
      <c r="B14" s="10"/>
      <c r="C14" s="10"/>
      <c r="D14" s="10"/>
      <c r="E14" s="10">
        <v>12</v>
      </c>
      <c r="F14" s="10"/>
      <c r="G14" s="10"/>
      <c r="H14" s="10"/>
      <c r="I14" s="10"/>
      <c r="J14" s="10">
        <v>12</v>
      </c>
      <c r="K14" s="10"/>
      <c r="L14" s="10"/>
      <c r="M14" s="10"/>
      <c r="N14" s="10"/>
      <c r="O14" s="10">
        <v>12</v>
      </c>
    </row>
    <row r="15" spans="1:22" ht="15" x14ac:dyDescent="0.2">
      <c r="A15" s="8"/>
      <c r="B15" s="10"/>
      <c r="C15" s="10"/>
      <c r="D15" s="147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22" ht="15.75" x14ac:dyDescent="0.25">
      <c r="A16" s="7" t="s">
        <v>2259</v>
      </c>
      <c r="B16" s="10"/>
      <c r="C16" s="10"/>
      <c r="D16" s="147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6" ht="15.75" x14ac:dyDescent="0.25">
      <c r="A17" s="8" t="s">
        <v>20</v>
      </c>
      <c r="B17" s="55">
        <v>4.9000000000000002E-2</v>
      </c>
      <c r="C17" s="55">
        <v>3.5000000000000003E-2</v>
      </c>
      <c r="D17" s="55">
        <v>4.9000000000000002E-2</v>
      </c>
      <c r="E17" s="55"/>
      <c r="F17" s="138" t="s">
        <v>1806</v>
      </c>
      <c r="G17" s="55">
        <v>4.9000000000000002E-2</v>
      </c>
      <c r="H17" s="55">
        <v>4.9000000000000002E-2</v>
      </c>
      <c r="I17" s="55">
        <v>4.9000000000000002E-2</v>
      </c>
      <c r="J17" s="55"/>
      <c r="K17" s="138" t="s">
        <v>1806</v>
      </c>
      <c r="L17" s="55">
        <v>0.05</v>
      </c>
      <c r="M17" s="55">
        <v>0.05</v>
      </c>
      <c r="N17" s="55">
        <v>0.05</v>
      </c>
      <c r="O17" s="55"/>
      <c r="P17" s="138" t="s">
        <v>1806</v>
      </c>
    </row>
    <row r="18" spans="1:16" ht="15.75" x14ac:dyDescent="0.25">
      <c r="A18" s="8"/>
      <c r="B18" s="54">
        <f t="shared" ref="B18:O18" si="0">B17*100</f>
        <v>4.9000000000000004</v>
      </c>
      <c r="C18" s="54">
        <f t="shared" si="0"/>
        <v>3.5000000000000004</v>
      </c>
      <c r="D18" s="54">
        <f t="shared" si="0"/>
        <v>4.9000000000000004</v>
      </c>
      <c r="E18" s="54">
        <f t="shared" si="0"/>
        <v>0</v>
      </c>
      <c r="F18" s="138">
        <f>AVERAGE(B17:E17)*100</f>
        <v>4.4333333333333336</v>
      </c>
      <c r="G18" s="54">
        <f t="shared" si="0"/>
        <v>4.9000000000000004</v>
      </c>
      <c r="H18" s="54">
        <f t="shared" si="0"/>
        <v>4.9000000000000004</v>
      </c>
      <c r="I18" s="54">
        <f t="shared" si="0"/>
        <v>4.9000000000000004</v>
      </c>
      <c r="J18" s="54">
        <f t="shared" si="0"/>
        <v>0</v>
      </c>
      <c r="K18" s="139">
        <f>AVERAGE(G17:J17)*100</f>
        <v>4.9000000000000012</v>
      </c>
      <c r="L18" s="54">
        <f t="shared" si="0"/>
        <v>5</v>
      </c>
      <c r="M18" s="54">
        <f t="shared" si="0"/>
        <v>5</v>
      </c>
      <c r="N18" s="54">
        <f t="shared" si="0"/>
        <v>5</v>
      </c>
      <c r="O18" s="54">
        <f t="shared" si="0"/>
        <v>0</v>
      </c>
      <c r="P18" s="139">
        <f>AVERAGE(L17:O17)*100</f>
        <v>5.0000000000000009</v>
      </c>
    </row>
    <row r="19" spans="1:16" ht="15.75" x14ac:dyDescent="0.25">
      <c r="A19" s="7" t="s">
        <v>2260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1:16" ht="15.75" x14ac:dyDescent="0.25">
      <c r="A20" s="8" t="s">
        <v>20</v>
      </c>
      <c r="B20" s="55"/>
      <c r="C20" s="55"/>
      <c r="D20" s="148"/>
      <c r="E20" s="55"/>
      <c r="F20" s="138" t="s">
        <v>1806</v>
      </c>
      <c r="G20" s="55"/>
      <c r="H20" s="55"/>
      <c r="I20" s="55"/>
      <c r="J20" s="55"/>
      <c r="K20" s="138" t="s">
        <v>1806</v>
      </c>
      <c r="L20" s="55"/>
      <c r="M20" s="55"/>
      <c r="N20" s="55"/>
      <c r="O20" s="55"/>
      <c r="P20" s="138" t="s">
        <v>1806</v>
      </c>
    </row>
    <row r="21" spans="1:16" ht="15.75" x14ac:dyDescent="0.25">
      <c r="A21" s="8"/>
      <c r="B21" s="54">
        <f>B20*100</f>
        <v>0</v>
      </c>
      <c r="C21" s="54">
        <f t="shared" ref="C21:O21" si="1">C20*100</f>
        <v>0</v>
      </c>
      <c r="D21" s="54">
        <f t="shared" si="1"/>
        <v>0</v>
      </c>
      <c r="E21" s="54">
        <f t="shared" si="1"/>
        <v>0</v>
      </c>
      <c r="F21" s="139" t="e">
        <f>AVERAGE(B20:E20)*100</f>
        <v>#DIV/0!</v>
      </c>
      <c r="G21" s="54">
        <f t="shared" si="1"/>
        <v>0</v>
      </c>
      <c r="H21" s="54">
        <f t="shared" si="1"/>
        <v>0</v>
      </c>
      <c r="I21" s="54">
        <f t="shared" si="1"/>
        <v>0</v>
      </c>
      <c r="J21" s="54">
        <f t="shared" si="1"/>
        <v>0</v>
      </c>
      <c r="K21" s="139" t="e">
        <f>AVERAGE(G20:J20)*100</f>
        <v>#DIV/0!</v>
      </c>
      <c r="L21" s="54">
        <f t="shared" si="1"/>
        <v>0</v>
      </c>
      <c r="M21" s="54">
        <f t="shared" si="1"/>
        <v>0</v>
      </c>
      <c r="N21" s="54">
        <f t="shared" si="1"/>
        <v>0</v>
      </c>
      <c r="O21" s="54">
        <f t="shared" si="1"/>
        <v>0</v>
      </c>
      <c r="P21" s="139" t="e">
        <f>AVERAGE(L20:O20)*100</f>
        <v>#DIV/0!</v>
      </c>
    </row>
    <row r="22" spans="1:16" ht="15.75" x14ac:dyDescent="0.25">
      <c r="A22" s="7" t="s">
        <v>2261</v>
      </c>
      <c r="B22" s="8"/>
      <c r="C22" s="8"/>
      <c r="D22" s="149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6" ht="15" x14ac:dyDescent="0.2">
      <c r="A23" s="8"/>
      <c r="B23" s="8"/>
      <c r="C23" s="8"/>
      <c r="D23" s="149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  <row r="24" spans="1:16" ht="15.75" x14ac:dyDescent="0.25">
      <c r="A24" s="7" t="s">
        <v>2262</v>
      </c>
      <c r="B24" s="8"/>
      <c r="C24" s="7"/>
      <c r="D24" s="150"/>
      <c r="E24" s="7"/>
      <c r="F24" s="138" t="s">
        <v>1806</v>
      </c>
      <c r="G24" s="7"/>
      <c r="H24" s="7" t="s">
        <v>2264</v>
      </c>
      <c r="I24" s="8"/>
      <c r="J24" s="8"/>
      <c r="K24" s="138" t="s">
        <v>1806</v>
      </c>
      <c r="L24" s="8"/>
      <c r="M24" s="8"/>
      <c r="N24" s="8"/>
      <c r="O24" s="8"/>
    </row>
    <row r="25" spans="1:16" ht="15.75" x14ac:dyDescent="0.25">
      <c r="A25" s="8" t="s">
        <v>2263</v>
      </c>
      <c r="B25" s="10">
        <v>170</v>
      </c>
      <c r="C25" s="10">
        <v>160</v>
      </c>
      <c r="D25" s="10">
        <v>160</v>
      </c>
      <c r="E25" s="10">
        <v>170</v>
      </c>
      <c r="F25" s="138">
        <f>AVERAGE(B25:E25)</f>
        <v>165</v>
      </c>
      <c r="G25" s="10">
        <v>170</v>
      </c>
      <c r="H25" s="10">
        <v>170</v>
      </c>
      <c r="I25" s="10">
        <v>170</v>
      </c>
      <c r="J25" s="10">
        <v>190</v>
      </c>
      <c r="K25" s="138">
        <f>AVERAGE(G25:J25)</f>
        <v>175</v>
      </c>
      <c r="L25" s="8"/>
      <c r="M25" s="8"/>
      <c r="N25" s="8"/>
      <c r="O25" s="8"/>
    </row>
    <row r="26" spans="1:16" ht="15.75" x14ac:dyDescent="0.25">
      <c r="A26" s="8" t="s">
        <v>2252</v>
      </c>
      <c r="B26" s="10">
        <v>88</v>
      </c>
      <c r="C26" s="10">
        <v>88</v>
      </c>
      <c r="D26" s="10">
        <v>88</v>
      </c>
      <c r="E26" s="10">
        <v>88</v>
      </c>
      <c r="F26" s="138">
        <f>AVERAGE(B26:E26)</f>
        <v>88</v>
      </c>
      <c r="G26" s="10">
        <v>90</v>
      </c>
      <c r="H26" s="10">
        <v>90</v>
      </c>
      <c r="I26" s="10">
        <v>90</v>
      </c>
      <c r="J26" s="10">
        <v>90</v>
      </c>
      <c r="K26" s="138">
        <f>AVERAGE(G26:J26)</f>
        <v>90</v>
      </c>
      <c r="L26" s="8"/>
      <c r="M26" s="8"/>
      <c r="N26" s="8"/>
      <c r="O26" s="8"/>
    </row>
    <row r="27" spans="1:16" ht="15" x14ac:dyDescent="0.2">
      <c r="A27" s="8" t="s">
        <v>2254</v>
      </c>
      <c r="B27" s="10">
        <v>12</v>
      </c>
      <c r="C27" s="10"/>
      <c r="D27" s="10"/>
      <c r="E27" s="10"/>
      <c r="F27" s="10"/>
      <c r="G27" s="10">
        <v>12</v>
      </c>
      <c r="H27" s="10"/>
      <c r="I27" s="10"/>
      <c r="J27" s="10"/>
      <c r="K27" s="8"/>
      <c r="L27" s="8"/>
      <c r="M27" s="8"/>
      <c r="N27" s="8"/>
      <c r="O27" s="8"/>
    </row>
    <row r="28" spans="1:16" ht="15" x14ac:dyDescent="0.2">
      <c r="A28" s="8"/>
      <c r="B28" s="8"/>
      <c r="C28" s="8"/>
      <c r="D28" s="149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</row>
  </sheetData>
  <phoneticPr fontId="0" type="noConversion"/>
  <printOptions gridLines="1"/>
  <pageMargins left="0.75" right="0.75" top="1" bottom="1" header="0.5" footer="0.5"/>
  <pageSetup scale="62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53"/>
  <sheetViews>
    <sheetView workbookViewId="0"/>
  </sheetViews>
  <sheetFormatPr defaultRowHeight="12.75" x14ac:dyDescent="0.2"/>
  <cols>
    <col min="1" max="1" width="10.28515625" bestFit="1" customWidth="1"/>
    <col min="2" max="2" width="10.5703125" bestFit="1" customWidth="1"/>
    <col min="3" max="3" width="14.140625" bestFit="1" customWidth="1"/>
  </cols>
  <sheetData>
    <row r="1" spans="1:15" x14ac:dyDescent="0.2">
      <c r="A1" s="2" t="s">
        <v>2344</v>
      </c>
      <c r="E1" s="2" t="s">
        <v>2345</v>
      </c>
      <c r="I1" s="2" t="s">
        <v>2346</v>
      </c>
      <c r="M1" s="2" t="s">
        <v>8</v>
      </c>
    </row>
    <row r="2" spans="1:15" x14ac:dyDescent="0.2">
      <c r="A2">
        <v>6</v>
      </c>
      <c r="B2" t="s">
        <v>2211</v>
      </c>
      <c r="E2">
        <v>6</v>
      </c>
      <c r="F2" t="s">
        <v>2211</v>
      </c>
      <c r="I2">
        <v>6</v>
      </c>
      <c r="J2" t="s">
        <v>2211</v>
      </c>
      <c r="M2">
        <v>6</v>
      </c>
      <c r="N2" t="s">
        <v>2211</v>
      </c>
    </row>
    <row r="3" spans="1:15" x14ac:dyDescent="0.2">
      <c r="A3">
        <f>A2+A4-1</f>
        <v>53</v>
      </c>
      <c r="B3" t="s">
        <v>2116</v>
      </c>
      <c r="E3">
        <f>E2+E4-1</f>
        <v>53</v>
      </c>
      <c r="F3" t="s">
        <v>2116</v>
      </c>
      <c r="I3">
        <f>I2+I4-1</f>
        <v>17</v>
      </c>
      <c r="J3" t="s">
        <v>2116</v>
      </c>
      <c r="M3">
        <f>M2+M4-1</f>
        <v>17</v>
      </c>
      <c r="N3" t="s">
        <v>2116</v>
      </c>
    </row>
    <row r="4" spans="1:15" x14ac:dyDescent="0.2">
      <c r="A4">
        <f>COUNTA(A6:A144)</f>
        <v>48</v>
      </c>
      <c r="B4" t="s">
        <v>2115</v>
      </c>
      <c r="E4">
        <f>COUNTA(E6:E144)</f>
        <v>48</v>
      </c>
      <c r="F4" t="s">
        <v>2115</v>
      </c>
      <c r="I4">
        <f>COUNTA(I6:I144)</f>
        <v>12</v>
      </c>
      <c r="J4" t="s">
        <v>2115</v>
      </c>
      <c r="M4">
        <f>COUNTA(M6:M144)</f>
        <v>12</v>
      </c>
      <c r="N4" t="s">
        <v>2115</v>
      </c>
    </row>
    <row r="5" spans="1:15" x14ac:dyDescent="0.2">
      <c r="A5" t="s">
        <v>2109</v>
      </c>
      <c r="B5" t="s">
        <v>2110</v>
      </c>
      <c r="C5" t="s">
        <v>2111</v>
      </c>
      <c r="E5" t="s">
        <v>2109</v>
      </c>
      <c r="F5" t="s">
        <v>2110</v>
      </c>
      <c r="G5" t="s">
        <v>2111</v>
      </c>
      <c r="I5" t="s">
        <v>2109</v>
      </c>
      <c r="J5" t="s">
        <v>2110</v>
      </c>
      <c r="K5" t="s">
        <v>2111</v>
      </c>
      <c r="M5" t="s">
        <v>2109</v>
      </c>
      <c r="N5" t="s">
        <v>2110</v>
      </c>
      <c r="O5" t="s">
        <v>2111</v>
      </c>
    </row>
    <row r="6" spans="1:15" x14ac:dyDescent="0.2">
      <c r="A6" t="s">
        <v>2212</v>
      </c>
      <c r="B6" t="s">
        <v>2213</v>
      </c>
      <c r="C6" t="s">
        <v>2167</v>
      </c>
      <c r="E6" t="s">
        <v>2212</v>
      </c>
      <c r="F6" t="s">
        <v>2213</v>
      </c>
      <c r="G6" t="s">
        <v>2173</v>
      </c>
      <c r="I6" t="s">
        <v>1113</v>
      </c>
      <c r="J6" t="s">
        <v>2307</v>
      </c>
      <c r="K6" t="s">
        <v>2179</v>
      </c>
      <c r="M6" t="s">
        <v>1113</v>
      </c>
      <c r="N6" t="s">
        <v>2307</v>
      </c>
      <c r="O6" t="s">
        <v>2181</v>
      </c>
    </row>
    <row r="7" spans="1:15" x14ac:dyDescent="0.2">
      <c r="A7" t="s">
        <v>2212</v>
      </c>
      <c r="B7" t="s">
        <v>2214</v>
      </c>
      <c r="C7" t="s">
        <v>2265</v>
      </c>
      <c r="E7" t="s">
        <v>2212</v>
      </c>
      <c r="F7" t="s">
        <v>2214</v>
      </c>
      <c r="G7" t="s">
        <v>2306</v>
      </c>
      <c r="I7" t="s">
        <v>1113</v>
      </c>
      <c r="J7" t="s">
        <v>2347</v>
      </c>
      <c r="K7" t="s">
        <v>0</v>
      </c>
      <c r="M7" t="s">
        <v>1113</v>
      </c>
      <c r="N7" t="s">
        <v>2347</v>
      </c>
      <c r="O7" t="s">
        <v>9</v>
      </c>
    </row>
    <row r="8" spans="1:15" x14ac:dyDescent="0.2">
      <c r="A8" t="s">
        <v>2212</v>
      </c>
      <c r="B8" t="s">
        <v>2215</v>
      </c>
      <c r="C8" t="s">
        <v>2266</v>
      </c>
      <c r="E8" t="s">
        <v>2212</v>
      </c>
      <c r="F8" t="s">
        <v>2215</v>
      </c>
      <c r="G8" t="s">
        <v>2307</v>
      </c>
      <c r="I8" t="s">
        <v>1113</v>
      </c>
      <c r="J8" t="s">
        <v>2309</v>
      </c>
      <c r="K8" t="s">
        <v>1</v>
      </c>
      <c r="M8" t="s">
        <v>1113</v>
      </c>
      <c r="N8" t="s">
        <v>2309</v>
      </c>
      <c r="O8" t="s">
        <v>10</v>
      </c>
    </row>
    <row r="9" spans="1:15" x14ac:dyDescent="0.2">
      <c r="A9" t="s">
        <v>2212</v>
      </c>
      <c r="B9" t="s">
        <v>2216</v>
      </c>
      <c r="C9" t="s">
        <v>2194</v>
      </c>
      <c r="E9" t="s">
        <v>2212</v>
      </c>
      <c r="F9" t="s">
        <v>2216</v>
      </c>
      <c r="G9" t="s">
        <v>2200</v>
      </c>
      <c r="I9" t="s">
        <v>1113</v>
      </c>
      <c r="J9" t="s">
        <v>2310</v>
      </c>
      <c r="K9" t="s">
        <v>2</v>
      </c>
      <c r="M9" t="s">
        <v>1113</v>
      </c>
      <c r="N9" t="s">
        <v>2310</v>
      </c>
      <c r="O9" t="s">
        <v>11</v>
      </c>
    </row>
    <row r="10" spans="1:15" x14ac:dyDescent="0.2">
      <c r="A10" t="s">
        <v>2212</v>
      </c>
      <c r="B10" t="s">
        <v>2213</v>
      </c>
      <c r="C10" t="s">
        <v>2267</v>
      </c>
      <c r="E10" t="s">
        <v>2212</v>
      </c>
      <c r="F10" t="s">
        <v>2213</v>
      </c>
      <c r="G10" t="s">
        <v>2308</v>
      </c>
      <c r="I10" t="s">
        <v>1113</v>
      </c>
      <c r="J10" t="s">
        <v>2311</v>
      </c>
      <c r="K10" t="s">
        <v>3</v>
      </c>
      <c r="M10" t="s">
        <v>1113</v>
      </c>
      <c r="N10" t="s">
        <v>2311</v>
      </c>
      <c r="O10" t="s">
        <v>12</v>
      </c>
    </row>
    <row r="11" spans="1:15" x14ac:dyDescent="0.2">
      <c r="A11" t="s">
        <v>2212</v>
      </c>
      <c r="B11" t="s">
        <v>2214</v>
      </c>
      <c r="C11" t="s">
        <v>2268</v>
      </c>
      <c r="E11" t="s">
        <v>2212</v>
      </c>
      <c r="F11" t="s">
        <v>2214</v>
      </c>
      <c r="G11" t="s">
        <v>2309</v>
      </c>
      <c r="I11" t="s">
        <v>1113</v>
      </c>
      <c r="J11" t="s">
        <v>2312</v>
      </c>
      <c r="K11" t="s">
        <v>4</v>
      </c>
      <c r="M11" t="s">
        <v>1113</v>
      </c>
      <c r="N11" t="s">
        <v>2312</v>
      </c>
      <c r="O11" t="s">
        <v>13</v>
      </c>
    </row>
    <row r="12" spans="1:15" x14ac:dyDescent="0.2">
      <c r="A12" t="s">
        <v>2212</v>
      </c>
      <c r="B12" t="s">
        <v>2215</v>
      </c>
      <c r="C12" t="s">
        <v>2269</v>
      </c>
      <c r="E12" t="s">
        <v>2212</v>
      </c>
      <c r="F12" t="s">
        <v>2215</v>
      </c>
      <c r="G12" t="s">
        <v>2221</v>
      </c>
      <c r="I12" t="s">
        <v>1113</v>
      </c>
      <c r="J12" t="s">
        <v>2348</v>
      </c>
      <c r="K12" t="s">
        <v>2233</v>
      </c>
      <c r="M12" t="s">
        <v>1113</v>
      </c>
      <c r="N12" t="s">
        <v>2348</v>
      </c>
      <c r="O12" t="s">
        <v>14</v>
      </c>
    </row>
    <row r="13" spans="1:15" x14ac:dyDescent="0.2">
      <c r="A13" t="s">
        <v>2212</v>
      </c>
      <c r="B13" t="s">
        <v>2216</v>
      </c>
      <c r="C13" t="s">
        <v>2270</v>
      </c>
      <c r="E13" t="s">
        <v>2212</v>
      </c>
      <c r="F13" t="s">
        <v>2216</v>
      </c>
      <c r="G13" t="s">
        <v>2310</v>
      </c>
      <c r="I13" t="s">
        <v>1113</v>
      </c>
      <c r="J13" t="s">
        <v>2349</v>
      </c>
      <c r="K13" t="s">
        <v>5</v>
      </c>
      <c r="M13" t="s">
        <v>1113</v>
      </c>
      <c r="N13" t="s">
        <v>2349</v>
      </c>
      <c r="O13" t="s">
        <v>15</v>
      </c>
    </row>
    <row r="14" spans="1:15" x14ac:dyDescent="0.2">
      <c r="A14" t="s">
        <v>2212</v>
      </c>
      <c r="B14" t="s">
        <v>2217</v>
      </c>
      <c r="C14" t="s">
        <v>2271</v>
      </c>
      <c r="E14" t="s">
        <v>2212</v>
      </c>
      <c r="F14" t="s">
        <v>2217</v>
      </c>
      <c r="G14" t="s">
        <v>2311</v>
      </c>
      <c r="I14" t="s">
        <v>1113</v>
      </c>
      <c r="J14" t="s">
        <v>2350</v>
      </c>
      <c r="K14" t="s">
        <v>6</v>
      </c>
      <c r="M14" t="s">
        <v>1113</v>
      </c>
      <c r="N14" t="s">
        <v>2350</v>
      </c>
      <c r="O14" t="s">
        <v>16</v>
      </c>
    </row>
    <row r="15" spans="1:15" x14ac:dyDescent="0.2">
      <c r="A15" t="s">
        <v>2212</v>
      </c>
      <c r="B15" t="s">
        <v>2218</v>
      </c>
      <c r="C15" t="s">
        <v>2272</v>
      </c>
      <c r="E15" t="s">
        <v>2212</v>
      </c>
      <c r="F15" t="s">
        <v>2218</v>
      </c>
      <c r="G15" t="s">
        <v>2223</v>
      </c>
      <c r="I15" t="s">
        <v>1113</v>
      </c>
      <c r="J15" t="s">
        <v>2351</v>
      </c>
      <c r="K15" t="s">
        <v>2235</v>
      </c>
      <c r="M15" t="s">
        <v>1113</v>
      </c>
      <c r="N15" t="s">
        <v>2351</v>
      </c>
      <c r="O15" t="s">
        <v>17</v>
      </c>
    </row>
    <row r="16" spans="1:15" x14ac:dyDescent="0.2">
      <c r="A16" t="s">
        <v>2212</v>
      </c>
      <c r="B16" t="s">
        <v>2219</v>
      </c>
      <c r="C16" t="s">
        <v>2273</v>
      </c>
      <c r="E16" t="s">
        <v>2212</v>
      </c>
      <c r="F16" t="s">
        <v>2219</v>
      </c>
      <c r="G16" t="s">
        <v>2312</v>
      </c>
      <c r="I16" t="s">
        <v>1113</v>
      </c>
      <c r="J16" t="s">
        <v>2352</v>
      </c>
      <c r="K16" t="s">
        <v>7</v>
      </c>
      <c r="M16" t="s">
        <v>1113</v>
      </c>
      <c r="N16" t="s">
        <v>2352</v>
      </c>
      <c r="O16" t="s">
        <v>18</v>
      </c>
    </row>
    <row r="17" spans="1:15" x14ac:dyDescent="0.2">
      <c r="A17" t="s">
        <v>2212</v>
      </c>
      <c r="B17" t="s">
        <v>2220</v>
      </c>
      <c r="C17" t="s">
        <v>2274</v>
      </c>
      <c r="E17" t="s">
        <v>2212</v>
      </c>
      <c r="F17" t="s">
        <v>2220</v>
      </c>
      <c r="G17" t="s">
        <v>2224</v>
      </c>
      <c r="I17" t="s">
        <v>1113</v>
      </c>
      <c r="J17" t="s">
        <v>2229</v>
      </c>
      <c r="K17" t="s">
        <v>2236</v>
      </c>
      <c r="M17" t="s">
        <v>1113</v>
      </c>
      <c r="N17" t="s">
        <v>2229</v>
      </c>
      <c r="O17" t="s">
        <v>19</v>
      </c>
    </row>
    <row r="18" spans="1:15" x14ac:dyDescent="0.2">
      <c r="A18" t="s">
        <v>2212</v>
      </c>
      <c r="B18" t="s">
        <v>2221</v>
      </c>
      <c r="C18" t="s">
        <v>2168</v>
      </c>
      <c r="E18" t="s">
        <v>2212</v>
      </c>
      <c r="F18" t="s">
        <v>2221</v>
      </c>
      <c r="G18" t="s">
        <v>2174</v>
      </c>
    </row>
    <row r="19" spans="1:15" x14ac:dyDescent="0.2">
      <c r="A19" t="s">
        <v>2212</v>
      </c>
      <c r="B19" t="s">
        <v>2222</v>
      </c>
      <c r="C19" t="s">
        <v>2275</v>
      </c>
      <c r="E19" t="s">
        <v>2212</v>
      </c>
      <c r="F19" t="s">
        <v>2222</v>
      </c>
      <c r="G19" t="s">
        <v>2313</v>
      </c>
    </row>
    <row r="20" spans="1:15" x14ac:dyDescent="0.2">
      <c r="A20" t="s">
        <v>2212</v>
      </c>
      <c r="B20" t="s">
        <v>2223</v>
      </c>
      <c r="C20" t="s">
        <v>2276</v>
      </c>
      <c r="E20" t="s">
        <v>2212</v>
      </c>
      <c r="F20" t="s">
        <v>2223</v>
      </c>
      <c r="G20" t="s">
        <v>2314</v>
      </c>
    </row>
    <row r="21" spans="1:15" x14ac:dyDescent="0.2">
      <c r="A21" t="s">
        <v>2212</v>
      </c>
      <c r="B21" t="s">
        <v>2224</v>
      </c>
      <c r="C21" t="s">
        <v>2195</v>
      </c>
      <c r="E21" t="s">
        <v>2212</v>
      </c>
      <c r="F21" t="s">
        <v>2224</v>
      </c>
      <c r="G21" t="s">
        <v>2201</v>
      </c>
    </row>
    <row r="22" spans="1:15" x14ac:dyDescent="0.2">
      <c r="A22" t="s">
        <v>2212</v>
      </c>
      <c r="B22" t="s">
        <v>2225</v>
      </c>
      <c r="C22" t="s">
        <v>2277</v>
      </c>
      <c r="E22" t="s">
        <v>2212</v>
      </c>
      <c r="F22" t="s">
        <v>2225</v>
      </c>
      <c r="G22" t="s">
        <v>2315</v>
      </c>
    </row>
    <row r="23" spans="1:15" x14ac:dyDescent="0.2">
      <c r="A23" t="s">
        <v>2212</v>
      </c>
      <c r="B23" t="s">
        <v>2226</v>
      </c>
      <c r="C23" t="s">
        <v>2278</v>
      </c>
      <c r="E23" t="s">
        <v>2212</v>
      </c>
      <c r="F23" t="s">
        <v>2226</v>
      </c>
      <c r="G23" t="s">
        <v>2316</v>
      </c>
    </row>
    <row r="24" spans="1:15" x14ac:dyDescent="0.2">
      <c r="A24" t="s">
        <v>2212</v>
      </c>
      <c r="B24" t="s">
        <v>2227</v>
      </c>
      <c r="C24" t="s">
        <v>2279</v>
      </c>
      <c r="E24" t="s">
        <v>2212</v>
      </c>
      <c r="F24" t="s">
        <v>2227</v>
      </c>
      <c r="G24" t="s">
        <v>2317</v>
      </c>
    </row>
    <row r="25" spans="1:15" x14ac:dyDescent="0.2">
      <c r="A25" t="s">
        <v>2212</v>
      </c>
      <c r="B25" t="s">
        <v>2228</v>
      </c>
      <c r="C25" t="s">
        <v>2280</v>
      </c>
      <c r="E25" t="s">
        <v>2212</v>
      </c>
      <c r="F25" t="s">
        <v>2228</v>
      </c>
      <c r="G25" t="s">
        <v>2318</v>
      </c>
    </row>
    <row r="26" spans="1:15" x14ac:dyDescent="0.2">
      <c r="A26" t="s">
        <v>2212</v>
      </c>
      <c r="B26" t="s">
        <v>2229</v>
      </c>
      <c r="C26" t="s">
        <v>2281</v>
      </c>
      <c r="E26" t="s">
        <v>2212</v>
      </c>
      <c r="F26" t="s">
        <v>2229</v>
      </c>
      <c r="G26" t="s">
        <v>2319</v>
      </c>
    </row>
    <row r="27" spans="1:15" x14ac:dyDescent="0.2">
      <c r="A27" t="s">
        <v>2212</v>
      </c>
      <c r="B27" t="s">
        <v>2230</v>
      </c>
      <c r="C27" t="s">
        <v>2282</v>
      </c>
      <c r="E27" t="s">
        <v>2212</v>
      </c>
      <c r="F27" t="s">
        <v>2230</v>
      </c>
      <c r="G27" t="s">
        <v>2320</v>
      </c>
    </row>
    <row r="28" spans="1:15" x14ac:dyDescent="0.2">
      <c r="A28" t="s">
        <v>2212</v>
      </c>
      <c r="B28" t="s">
        <v>2231</v>
      </c>
      <c r="C28" t="s">
        <v>2283</v>
      </c>
      <c r="E28" t="s">
        <v>2212</v>
      </c>
      <c r="F28" t="s">
        <v>2231</v>
      </c>
      <c r="G28" t="s">
        <v>2321</v>
      </c>
    </row>
    <row r="29" spans="1:15" x14ac:dyDescent="0.2">
      <c r="A29" t="s">
        <v>2212</v>
      </c>
      <c r="B29" t="s">
        <v>2232</v>
      </c>
      <c r="C29" t="s">
        <v>2284</v>
      </c>
      <c r="E29" t="s">
        <v>2212</v>
      </c>
      <c r="F29" t="s">
        <v>2232</v>
      </c>
      <c r="G29" t="s">
        <v>2322</v>
      </c>
    </row>
    <row r="30" spans="1:15" x14ac:dyDescent="0.2">
      <c r="A30" t="s">
        <v>2212</v>
      </c>
      <c r="B30" t="s">
        <v>2233</v>
      </c>
      <c r="C30" t="s">
        <v>2169</v>
      </c>
      <c r="E30" t="s">
        <v>2212</v>
      </c>
      <c r="F30" t="s">
        <v>2233</v>
      </c>
      <c r="G30" t="s">
        <v>2175</v>
      </c>
    </row>
    <row r="31" spans="1:15" x14ac:dyDescent="0.2">
      <c r="A31" t="s">
        <v>2212</v>
      </c>
      <c r="B31" t="s">
        <v>2234</v>
      </c>
      <c r="C31" t="s">
        <v>2285</v>
      </c>
      <c r="E31" t="s">
        <v>2212</v>
      </c>
      <c r="F31" t="s">
        <v>2234</v>
      </c>
      <c r="G31" t="s">
        <v>2323</v>
      </c>
    </row>
    <row r="32" spans="1:15" x14ac:dyDescent="0.2">
      <c r="A32" t="s">
        <v>2212</v>
      </c>
      <c r="B32" t="s">
        <v>2235</v>
      </c>
      <c r="C32" t="s">
        <v>2286</v>
      </c>
      <c r="E32" t="s">
        <v>2212</v>
      </c>
      <c r="F32" t="s">
        <v>2235</v>
      </c>
      <c r="G32" t="s">
        <v>2324</v>
      </c>
    </row>
    <row r="33" spans="1:7" x14ac:dyDescent="0.2">
      <c r="A33" t="s">
        <v>2212</v>
      </c>
      <c r="B33" t="s">
        <v>2236</v>
      </c>
      <c r="C33" t="s">
        <v>2196</v>
      </c>
      <c r="E33" t="s">
        <v>2212</v>
      </c>
      <c r="F33" t="s">
        <v>2236</v>
      </c>
      <c r="G33" t="s">
        <v>2202</v>
      </c>
    </row>
    <row r="34" spans="1:7" x14ac:dyDescent="0.2">
      <c r="A34" t="s">
        <v>2212</v>
      </c>
      <c r="B34" t="s">
        <v>2237</v>
      </c>
      <c r="C34" t="s">
        <v>2287</v>
      </c>
      <c r="E34" t="s">
        <v>2212</v>
      </c>
      <c r="F34" t="s">
        <v>2237</v>
      </c>
      <c r="G34" t="s">
        <v>2325</v>
      </c>
    </row>
    <row r="35" spans="1:7" x14ac:dyDescent="0.2">
      <c r="A35" t="s">
        <v>2212</v>
      </c>
      <c r="B35" t="s">
        <v>2238</v>
      </c>
      <c r="C35" t="s">
        <v>2288</v>
      </c>
      <c r="E35" t="s">
        <v>2212</v>
      </c>
      <c r="F35" t="s">
        <v>2238</v>
      </c>
      <c r="G35" t="s">
        <v>2326</v>
      </c>
    </row>
    <row r="36" spans="1:7" x14ac:dyDescent="0.2">
      <c r="A36" t="s">
        <v>2212</v>
      </c>
      <c r="B36" t="s">
        <v>2239</v>
      </c>
      <c r="C36" t="s">
        <v>2289</v>
      </c>
      <c r="E36" t="s">
        <v>2212</v>
      </c>
      <c r="F36" t="s">
        <v>2239</v>
      </c>
      <c r="G36" t="s">
        <v>2327</v>
      </c>
    </row>
    <row r="37" spans="1:7" x14ac:dyDescent="0.2">
      <c r="A37" t="s">
        <v>2212</v>
      </c>
      <c r="B37" t="s">
        <v>2240</v>
      </c>
      <c r="C37" t="s">
        <v>2290</v>
      </c>
      <c r="E37" t="s">
        <v>2212</v>
      </c>
      <c r="F37" t="s">
        <v>2240</v>
      </c>
      <c r="G37" t="s">
        <v>2328</v>
      </c>
    </row>
    <row r="38" spans="1:7" x14ac:dyDescent="0.2">
      <c r="A38" t="s">
        <v>2212</v>
      </c>
      <c r="B38" t="s">
        <v>2241</v>
      </c>
      <c r="C38" t="s">
        <v>2291</v>
      </c>
      <c r="E38" t="s">
        <v>2212</v>
      </c>
      <c r="F38" t="s">
        <v>2241</v>
      </c>
      <c r="G38" t="s">
        <v>2329</v>
      </c>
    </row>
    <row r="39" spans="1:7" x14ac:dyDescent="0.2">
      <c r="A39" t="s">
        <v>2212</v>
      </c>
      <c r="B39" t="s">
        <v>2242</v>
      </c>
      <c r="C39" t="s">
        <v>2292</v>
      </c>
      <c r="E39" t="s">
        <v>2212</v>
      </c>
      <c r="F39" t="s">
        <v>2242</v>
      </c>
      <c r="G39" t="s">
        <v>2330</v>
      </c>
    </row>
    <row r="40" spans="1:7" x14ac:dyDescent="0.2">
      <c r="A40" t="s">
        <v>2212</v>
      </c>
      <c r="B40" t="s">
        <v>2243</v>
      </c>
      <c r="C40" t="s">
        <v>2293</v>
      </c>
      <c r="E40" t="s">
        <v>2212</v>
      </c>
      <c r="F40" t="s">
        <v>2243</v>
      </c>
      <c r="G40" t="s">
        <v>2331</v>
      </c>
    </row>
    <row r="41" spans="1:7" x14ac:dyDescent="0.2">
      <c r="A41" t="s">
        <v>2212</v>
      </c>
      <c r="B41" t="s">
        <v>2244</v>
      </c>
      <c r="C41" t="s">
        <v>2294</v>
      </c>
      <c r="E41" t="s">
        <v>2212</v>
      </c>
      <c r="F41" t="s">
        <v>2244</v>
      </c>
      <c r="G41" t="s">
        <v>2332</v>
      </c>
    </row>
    <row r="42" spans="1:7" x14ac:dyDescent="0.2">
      <c r="A42" t="s">
        <v>2212</v>
      </c>
      <c r="B42" t="s">
        <v>2245</v>
      </c>
      <c r="C42" t="s">
        <v>2197</v>
      </c>
      <c r="E42" t="s">
        <v>2212</v>
      </c>
      <c r="F42" t="s">
        <v>2245</v>
      </c>
      <c r="G42" t="s">
        <v>2203</v>
      </c>
    </row>
    <row r="43" spans="1:7" x14ac:dyDescent="0.2">
      <c r="A43" t="s">
        <v>2212</v>
      </c>
      <c r="B43" t="s">
        <v>2246</v>
      </c>
      <c r="C43" t="s">
        <v>2295</v>
      </c>
      <c r="E43" t="s">
        <v>2212</v>
      </c>
      <c r="F43" t="s">
        <v>2246</v>
      </c>
      <c r="G43" t="s">
        <v>2333</v>
      </c>
    </row>
    <row r="44" spans="1:7" x14ac:dyDescent="0.2">
      <c r="A44" t="s">
        <v>2212</v>
      </c>
      <c r="B44" t="s">
        <v>2247</v>
      </c>
      <c r="C44" t="s">
        <v>2296</v>
      </c>
      <c r="E44" t="s">
        <v>2212</v>
      </c>
      <c r="F44" t="s">
        <v>2247</v>
      </c>
      <c r="G44" t="s">
        <v>2334</v>
      </c>
    </row>
    <row r="45" spans="1:7" x14ac:dyDescent="0.2">
      <c r="A45" t="s">
        <v>2212</v>
      </c>
      <c r="B45" t="s">
        <v>1114</v>
      </c>
      <c r="C45" t="s">
        <v>2300</v>
      </c>
      <c r="E45" t="s">
        <v>2212</v>
      </c>
      <c r="F45" t="s">
        <v>1114</v>
      </c>
      <c r="G45" t="s">
        <v>2335</v>
      </c>
    </row>
    <row r="46" spans="1:7" x14ac:dyDescent="0.2">
      <c r="A46" t="s">
        <v>2212</v>
      </c>
      <c r="B46" t="s">
        <v>1116</v>
      </c>
      <c r="C46" t="s">
        <v>2297</v>
      </c>
      <c r="E46" t="s">
        <v>2212</v>
      </c>
      <c r="F46" t="s">
        <v>1116</v>
      </c>
      <c r="G46" t="s">
        <v>2336</v>
      </c>
    </row>
    <row r="47" spans="1:7" x14ac:dyDescent="0.2">
      <c r="A47" t="s">
        <v>2212</v>
      </c>
      <c r="B47" t="s">
        <v>1117</v>
      </c>
      <c r="C47" t="s">
        <v>2298</v>
      </c>
      <c r="E47" t="s">
        <v>2212</v>
      </c>
      <c r="F47" t="s">
        <v>1117</v>
      </c>
      <c r="G47" t="s">
        <v>2337</v>
      </c>
    </row>
    <row r="48" spans="1:7" x14ac:dyDescent="0.2">
      <c r="A48" t="s">
        <v>2212</v>
      </c>
      <c r="B48" t="s">
        <v>1115</v>
      </c>
      <c r="C48" t="s">
        <v>2299</v>
      </c>
      <c r="E48" t="s">
        <v>2212</v>
      </c>
      <c r="F48" t="s">
        <v>1115</v>
      </c>
      <c r="G48" t="s">
        <v>2338</v>
      </c>
    </row>
    <row r="49" spans="1:7" x14ac:dyDescent="0.2">
      <c r="A49" t="s">
        <v>2212</v>
      </c>
      <c r="B49" t="s">
        <v>1118</v>
      </c>
      <c r="C49" t="s">
        <v>2304</v>
      </c>
      <c r="E49" t="s">
        <v>2212</v>
      </c>
      <c r="F49" t="s">
        <v>1118</v>
      </c>
      <c r="G49" t="s">
        <v>2342</v>
      </c>
    </row>
    <row r="50" spans="1:7" x14ac:dyDescent="0.2">
      <c r="A50" t="s">
        <v>2212</v>
      </c>
      <c r="B50" t="s">
        <v>1119</v>
      </c>
      <c r="C50" t="s">
        <v>2301</v>
      </c>
      <c r="E50" t="s">
        <v>2212</v>
      </c>
      <c r="F50" t="s">
        <v>1119</v>
      </c>
      <c r="G50" t="s">
        <v>2339</v>
      </c>
    </row>
    <row r="51" spans="1:7" x14ac:dyDescent="0.2">
      <c r="A51" t="s">
        <v>2212</v>
      </c>
      <c r="B51" t="s">
        <v>1120</v>
      </c>
      <c r="C51" t="s">
        <v>2302</v>
      </c>
      <c r="E51" t="s">
        <v>2212</v>
      </c>
      <c r="F51" t="s">
        <v>1120</v>
      </c>
      <c r="G51" t="s">
        <v>2340</v>
      </c>
    </row>
    <row r="52" spans="1:7" x14ac:dyDescent="0.2">
      <c r="A52" t="s">
        <v>2212</v>
      </c>
      <c r="B52" t="s">
        <v>1121</v>
      </c>
      <c r="C52" t="s">
        <v>2303</v>
      </c>
      <c r="E52" t="s">
        <v>2212</v>
      </c>
      <c r="F52" t="s">
        <v>1121</v>
      </c>
      <c r="G52" t="s">
        <v>2341</v>
      </c>
    </row>
    <row r="53" spans="1:7" x14ac:dyDescent="0.2">
      <c r="A53" t="s">
        <v>2212</v>
      </c>
      <c r="B53" t="s">
        <v>1122</v>
      </c>
      <c r="C53" t="s">
        <v>2305</v>
      </c>
      <c r="E53" t="s">
        <v>2212</v>
      </c>
      <c r="F53" t="s">
        <v>1122</v>
      </c>
      <c r="G53" t="s">
        <v>2343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F45" sqref="F45"/>
    </sheetView>
  </sheetViews>
  <sheetFormatPr defaultRowHeight="12.75" x14ac:dyDescent="0.2"/>
  <cols>
    <col min="1" max="1" width="10.28515625" bestFit="1" customWidth="1"/>
    <col min="2" max="2" width="10.5703125" bestFit="1" customWidth="1"/>
    <col min="3" max="3" width="14.140625" bestFit="1" customWidth="1"/>
  </cols>
  <sheetData>
    <row r="1" spans="1:3" x14ac:dyDescent="0.2">
      <c r="A1">
        <v>5</v>
      </c>
      <c r="B1" t="s">
        <v>2211</v>
      </c>
    </row>
    <row r="2" spans="1:3" x14ac:dyDescent="0.2">
      <c r="A2">
        <f>A1+A3-1</f>
        <v>50</v>
      </c>
      <c r="B2" t="s">
        <v>2116</v>
      </c>
    </row>
    <row r="3" spans="1:3" x14ac:dyDescent="0.2">
      <c r="A3">
        <f>COUNTA(A5:A142)</f>
        <v>46</v>
      </c>
      <c r="B3" t="s">
        <v>2115</v>
      </c>
    </row>
    <row r="4" spans="1:3" x14ac:dyDescent="0.2">
      <c r="A4" t="s">
        <v>2109</v>
      </c>
      <c r="B4" t="s">
        <v>2110</v>
      </c>
      <c r="C4" t="s">
        <v>2111</v>
      </c>
    </row>
    <row r="5" spans="1:3" x14ac:dyDescent="0.2">
      <c r="A5" t="s">
        <v>2112</v>
      </c>
      <c r="B5" t="s">
        <v>1838</v>
      </c>
      <c r="C5" t="s">
        <v>2182</v>
      </c>
    </row>
    <row r="6" spans="1:3" x14ac:dyDescent="0.2">
      <c r="A6" t="s">
        <v>2112</v>
      </c>
      <c r="B6" t="s">
        <v>1839</v>
      </c>
      <c r="C6" t="s">
        <v>2165</v>
      </c>
    </row>
    <row r="7" spans="1:3" x14ac:dyDescent="0.2">
      <c r="A7" t="s">
        <v>2112</v>
      </c>
      <c r="B7" t="s">
        <v>1840</v>
      </c>
      <c r="C7" t="s">
        <v>2166</v>
      </c>
    </row>
    <row r="8" spans="1:3" x14ac:dyDescent="0.2">
      <c r="A8" t="s">
        <v>2112</v>
      </c>
      <c r="B8" t="s">
        <v>1841</v>
      </c>
      <c r="C8" t="s">
        <v>2167</v>
      </c>
    </row>
    <row r="9" spans="1:3" x14ac:dyDescent="0.2">
      <c r="A9" t="s">
        <v>2112</v>
      </c>
      <c r="B9" t="s">
        <v>1842</v>
      </c>
      <c r="C9" t="s">
        <v>2168</v>
      </c>
    </row>
    <row r="10" spans="1:3" x14ac:dyDescent="0.2">
      <c r="A10" t="s">
        <v>2112</v>
      </c>
      <c r="B10" t="s">
        <v>1843</v>
      </c>
      <c r="C10" t="s">
        <v>2169</v>
      </c>
    </row>
    <row r="11" spans="1:3" x14ac:dyDescent="0.2">
      <c r="A11" t="s">
        <v>2112</v>
      </c>
      <c r="B11" t="s">
        <v>1844</v>
      </c>
      <c r="C11" t="s">
        <v>2183</v>
      </c>
    </row>
    <row r="12" spans="1:3" x14ac:dyDescent="0.2">
      <c r="A12" t="s">
        <v>2112</v>
      </c>
      <c r="B12" t="s">
        <v>1845</v>
      </c>
      <c r="C12" t="s">
        <v>2170</v>
      </c>
    </row>
    <row r="13" spans="1:3" x14ac:dyDescent="0.2">
      <c r="A13" t="s">
        <v>2112</v>
      </c>
      <c r="B13" t="s">
        <v>1846</v>
      </c>
      <c r="C13" t="s">
        <v>2171</v>
      </c>
    </row>
    <row r="14" spans="1:3" x14ac:dyDescent="0.2">
      <c r="A14" t="s">
        <v>2112</v>
      </c>
      <c r="B14" t="s">
        <v>1847</v>
      </c>
      <c r="C14" t="s">
        <v>2172</v>
      </c>
    </row>
    <row r="15" spans="1:3" x14ac:dyDescent="0.2">
      <c r="A15" t="s">
        <v>2112</v>
      </c>
      <c r="B15" t="s">
        <v>1848</v>
      </c>
      <c r="C15" t="s">
        <v>2173</v>
      </c>
    </row>
    <row r="16" spans="1:3" x14ac:dyDescent="0.2">
      <c r="A16" t="s">
        <v>2112</v>
      </c>
      <c r="B16" t="s">
        <v>1849</v>
      </c>
      <c r="C16" t="s">
        <v>2174</v>
      </c>
    </row>
    <row r="17" spans="1:3" x14ac:dyDescent="0.2">
      <c r="A17" t="s">
        <v>2112</v>
      </c>
      <c r="B17" t="s">
        <v>1850</v>
      </c>
      <c r="C17" t="s">
        <v>2175</v>
      </c>
    </row>
    <row r="18" spans="1:3" x14ac:dyDescent="0.2">
      <c r="A18" t="s">
        <v>2112</v>
      </c>
      <c r="B18" t="s">
        <v>1851</v>
      </c>
      <c r="C18" t="s">
        <v>2184</v>
      </c>
    </row>
    <row r="19" spans="1:3" x14ac:dyDescent="0.2">
      <c r="A19" t="s">
        <v>2112</v>
      </c>
      <c r="B19" t="s">
        <v>1852</v>
      </c>
      <c r="C19" t="s">
        <v>2185</v>
      </c>
    </row>
    <row r="20" spans="1:3" x14ac:dyDescent="0.2">
      <c r="A20" t="s">
        <v>2113</v>
      </c>
      <c r="B20" t="s">
        <v>1853</v>
      </c>
      <c r="C20" t="s">
        <v>2176</v>
      </c>
    </row>
    <row r="21" spans="1:3" x14ac:dyDescent="0.2">
      <c r="A21" t="s">
        <v>2113</v>
      </c>
      <c r="B21" t="s">
        <v>1838</v>
      </c>
      <c r="C21" t="s">
        <v>2177</v>
      </c>
    </row>
    <row r="22" spans="1:3" x14ac:dyDescent="0.2">
      <c r="A22" t="s">
        <v>2113</v>
      </c>
      <c r="B22" t="s">
        <v>1840</v>
      </c>
      <c r="C22" t="s">
        <v>2178</v>
      </c>
    </row>
    <row r="23" spans="1:3" x14ac:dyDescent="0.2">
      <c r="A23" t="s">
        <v>2113</v>
      </c>
      <c r="B23" t="s">
        <v>1841</v>
      </c>
      <c r="C23" t="s">
        <v>2179</v>
      </c>
    </row>
    <row r="24" spans="1:3" x14ac:dyDescent="0.2">
      <c r="A24" t="s">
        <v>2113</v>
      </c>
      <c r="B24" t="s">
        <v>1842</v>
      </c>
      <c r="C24" t="s">
        <v>2114</v>
      </c>
    </row>
    <row r="25" spans="1:3" x14ac:dyDescent="0.2">
      <c r="A25" t="s">
        <v>2113</v>
      </c>
      <c r="B25" t="s">
        <v>1843</v>
      </c>
      <c r="C25" t="s">
        <v>2180</v>
      </c>
    </row>
    <row r="26" spans="1:3" x14ac:dyDescent="0.2">
      <c r="A26" t="s">
        <v>2113</v>
      </c>
      <c r="B26" t="s">
        <v>1844</v>
      </c>
      <c r="C26" t="s">
        <v>2192</v>
      </c>
    </row>
    <row r="27" spans="1:3" x14ac:dyDescent="0.2">
      <c r="A27" t="s">
        <v>2113</v>
      </c>
      <c r="B27" t="s">
        <v>1846</v>
      </c>
      <c r="C27" t="s">
        <v>2186</v>
      </c>
    </row>
    <row r="28" spans="1:3" x14ac:dyDescent="0.2">
      <c r="A28" t="s">
        <v>2113</v>
      </c>
      <c r="B28" t="s">
        <v>1847</v>
      </c>
      <c r="C28" t="s">
        <v>2187</v>
      </c>
    </row>
    <row r="29" spans="1:3" x14ac:dyDescent="0.2">
      <c r="A29" t="s">
        <v>2113</v>
      </c>
      <c r="B29" t="s">
        <v>1848</v>
      </c>
      <c r="C29" t="s">
        <v>2188</v>
      </c>
    </row>
    <row r="30" spans="1:3" x14ac:dyDescent="0.2">
      <c r="A30" t="s">
        <v>2113</v>
      </c>
      <c r="B30" t="s">
        <v>1849</v>
      </c>
      <c r="C30" t="s">
        <v>2189</v>
      </c>
    </row>
    <row r="31" spans="1:3" x14ac:dyDescent="0.2">
      <c r="A31" t="s">
        <v>2113</v>
      </c>
      <c r="B31" t="s">
        <v>1849</v>
      </c>
      <c r="C31" t="s">
        <v>2193</v>
      </c>
    </row>
    <row r="32" spans="1:3" x14ac:dyDescent="0.2">
      <c r="A32" t="s">
        <v>2113</v>
      </c>
      <c r="B32" t="s">
        <v>1851</v>
      </c>
      <c r="C32" t="s">
        <v>2190</v>
      </c>
    </row>
    <row r="33" spans="1:3" x14ac:dyDescent="0.2">
      <c r="A33" t="s">
        <v>2113</v>
      </c>
      <c r="B33" t="s">
        <v>1852</v>
      </c>
      <c r="C33" t="s">
        <v>2191</v>
      </c>
    </row>
    <row r="34" spans="1:3" x14ac:dyDescent="0.2">
      <c r="A34" t="s">
        <v>2117</v>
      </c>
      <c r="B34" t="s">
        <v>1854</v>
      </c>
      <c r="C34" t="s">
        <v>2194</v>
      </c>
    </row>
    <row r="35" spans="1:3" x14ac:dyDescent="0.2">
      <c r="A35" t="s">
        <v>2118</v>
      </c>
      <c r="B35" t="s">
        <v>1855</v>
      </c>
      <c r="C35" t="s">
        <v>2195</v>
      </c>
    </row>
    <row r="36" spans="1:3" x14ac:dyDescent="0.2">
      <c r="A36" t="s">
        <v>2112</v>
      </c>
      <c r="B36" t="s">
        <v>1853</v>
      </c>
      <c r="C36" t="s">
        <v>2196</v>
      </c>
    </row>
    <row r="37" spans="1:3" x14ac:dyDescent="0.2">
      <c r="A37" t="s">
        <v>2113</v>
      </c>
      <c r="B37" t="s">
        <v>1853</v>
      </c>
      <c r="C37" t="s">
        <v>2197</v>
      </c>
    </row>
    <row r="38" spans="1:3" x14ac:dyDescent="0.2">
      <c r="A38" t="s">
        <v>2118</v>
      </c>
      <c r="B38" t="s">
        <v>1856</v>
      </c>
      <c r="C38" t="s">
        <v>2198</v>
      </c>
    </row>
    <row r="39" spans="1:3" x14ac:dyDescent="0.2">
      <c r="A39" t="s">
        <v>2118</v>
      </c>
      <c r="B39" t="s">
        <v>1857</v>
      </c>
      <c r="C39" t="s">
        <v>2199</v>
      </c>
    </row>
    <row r="40" spans="1:3" x14ac:dyDescent="0.2">
      <c r="A40" t="s">
        <v>2118</v>
      </c>
      <c r="B40" t="s">
        <v>1858</v>
      </c>
      <c r="C40" t="s">
        <v>2200</v>
      </c>
    </row>
    <row r="41" spans="1:3" x14ac:dyDescent="0.2">
      <c r="A41" t="s">
        <v>2118</v>
      </c>
      <c r="B41" t="s">
        <v>1859</v>
      </c>
      <c r="C41" t="s">
        <v>2201</v>
      </c>
    </row>
    <row r="42" spans="1:3" x14ac:dyDescent="0.2">
      <c r="A42" t="s">
        <v>2118</v>
      </c>
      <c r="B42" t="s">
        <v>1860</v>
      </c>
      <c r="C42" t="s">
        <v>2202</v>
      </c>
    </row>
    <row r="43" spans="1:3" x14ac:dyDescent="0.2">
      <c r="A43" t="s">
        <v>2118</v>
      </c>
      <c r="B43" t="s">
        <v>1861</v>
      </c>
      <c r="C43" t="s">
        <v>2206</v>
      </c>
    </row>
    <row r="44" spans="1:3" x14ac:dyDescent="0.2">
      <c r="A44" t="s">
        <v>2118</v>
      </c>
      <c r="B44" t="s">
        <v>1862</v>
      </c>
      <c r="C44" t="s">
        <v>2207</v>
      </c>
    </row>
    <row r="45" spans="1:3" x14ac:dyDescent="0.2">
      <c r="A45" t="s">
        <v>2118</v>
      </c>
      <c r="B45" t="s">
        <v>1863</v>
      </c>
      <c r="C45" t="s">
        <v>2208</v>
      </c>
    </row>
    <row r="46" spans="1:3" x14ac:dyDescent="0.2">
      <c r="A46" t="s">
        <v>2118</v>
      </c>
      <c r="B46" t="s">
        <v>1864</v>
      </c>
      <c r="C46" t="s">
        <v>2203</v>
      </c>
    </row>
    <row r="47" spans="1:3" x14ac:dyDescent="0.2">
      <c r="A47" t="s">
        <v>2118</v>
      </c>
      <c r="B47" t="s">
        <v>1865</v>
      </c>
      <c r="C47" t="s">
        <v>2204</v>
      </c>
    </row>
    <row r="48" spans="1:3" x14ac:dyDescent="0.2">
      <c r="A48" t="s">
        <v>2118</v>
      </c>
      <c r="B48" t="s">
        <v>1866</v>
      </c>
      <c r="C48" t="s">
        <v>2205</v>
      </c>
    </row>
    <row r="49" spans="1:3" x14ac:dyDescent="0.2">
      <c r="A49" t="s">
        <v>2118</v>
      </c>
      <c r="B49" t="s">
        <v>1867</v>
      </c>
      <c r="C49" t="s">
        <v>2209</v>
      </c>
    </row>
    <row r="50" spans="1:3" x14ac:dyDescent="0.2">
      <c r="A50" t="s">
        <v>2118</v>
      </c>
      <c r="B50" t="s">
        <v>1868</v>
      </c>
      <c r="C50" t="s">
        <v>2210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453"/>
  <sheetViews>
    <sheetView zoomScaleNormal="100" workbookViewId="0">
      <selection activeCell="D11" sqref="D11:I11"/>
    </sheetView>
  </sheetViews>
  <sheetFormatPr defaultRowHeight="12.75" x14ac:dyDescent="0.2"/>
  <cols>
    <col min="3" max="3" width="17.140625" customWidth="1"/>
  </cols>
  <sheetData>
    <row r="1" spans="1:9" x14ac:dyDescent="0.2">
      <c r="A1" s="2" t="s">
        <v>1907</v>
      </c>
      <c r="C1" s="12">
        <f>PrintLogs!G1</f>
        <v>43318</v>
      </c>
    </row>
    <row r="3" spans="1:9" x14ac:dyDescent="0.2">
      <c r="A3" s="2" t="s">
        <v>25</v>
      </c>
    </row>
    <row r="5" spans="1:9" x14ac:dyDescent="0.2">
      <c r="A5" t="s">
        <v>1911</v>
      </c>
      <c r="D5" s="21"/>
      <c r="E5" s="21"/>
      <c r="F5" s="21"/>
      <c r="G5" s="21"/>
      <c r="H5" s="21"/>
      <c r="I5" s="21"/>
    </row>
    <row r="6" spans="1:9" x14ac:dyDescent="0.2">
      <c r="A6" s="18" t="s">
        <v>1912</v>
      </c>
      <c r="B6" s="18"/>
      <c r="C6" s="18"/>
      <c r="D6" s="22"/>
      <c r="E6" s="22"/>
      <c r="F6" s="22"/>
      <c r="G6" s="22"/>
      <c r="H6" s="22"/>
      <c r="I6" s="22"/>
    </row>
    <row r="7" spans="1:9" x14ac:dyDescent="0.2">
      <c r="A7" t="s">
        <v>1916</v>
      </c>
      <c r="D7" s="21"/>
      <c r="E7" s="21"/>
      <c r="F7" s="21"/>
      <c r="G7" s="21"/>
      <c r="H7" s="21"/>
      <c r="I7" s="21"/>
    </row>
    <row r="8" spans="1:9" x14ac:dyDescent="0.2">
      <c r="D8" s="21"/>
      <c r="E8" s="21"/>
      <c r="F8" s="21"/>
      <c r="G8" s="21"/>
      <c r="H8" s="21"/>
      <c r="I8" s="21"/>
    </row>
    <row r="9" spans="1:9" x14ac:dyDescent="0.2">
      <c r="A9" t="s">
        <v>1913</v>
      </c>
      <c r="D9" s="21">
        <v>45</v>
      </c>
      <c r="E9" s="21">
        <v>45</v>
      </c>
      <c r="F9" s="21">
        <v>45</v>
      </c>
      <c r="G9" s="21">
        <v>45</v>
      </c>
      <c r="H9" s="21">
        <v>40</v>
      </c>
      <c r="I9" s="21">
        <v>40</v>
      </c>
    </row>
    <row r="10" spans="1:9" x14ac:dyDescent="0.2">
      <c r="A10" s="18" t="s">
        <v>1914</v>
      </c>
      <c r="B10" s="18"/>
      <c r="C10" s="18"/>
      <c r="D10" s="22">
        <v>45</v>
      </c>
      <c r="E10" s="22">
        <v>43</v>
      </c>
      <c r="F10" s="22">
        <v>40</v>
      </c>
      <c r="G10" s="22">
        <v>39</v>
      </c>
      <c r="H10" s="22">
        <v>44</v>
      </c>
      <c r="I10" s="22">
        <v>44</v>
      </c>
    </row>
    <row r="11" spans="1:9" x14ac:dyDescent="0.2">
      <c r="A11" t="s">
        <v>1917</v>
      </c>
      <c r="D11" s="21">
        <v>22</v>
      </c>
      <c r="E11" s="21">
        <v>22</v>
      </c>
      <c r="F11" s="21">
        <v>22</v>
      </c>
      <c r="G11" s="21">
        <v>22</v>
      </c>
      <c r="H11" s="21">
        <v>22</v>
      </c>
      <c r="I11" s="21">
        <v>22</v>
      </c>
    </row>
    <row r="12" spans="1:9" x14ac:dyDescent="0.2">
      <c r="D12" s="21"/>
      <c r="E12" s="21"/>
      <c r="F12" s="21"/>
      <c r="G12" s="21"/>
      <c r="H12" s="21"/>
      <c r="I12" s="21"/>
    </row>
    <row r="13" spans="1:9" x14ac:dyDescent="0.2">
      <c r="A13" t="s">
        <v>1908</v>
      </c>
      <c r="D13" s="21">
        <v>23</v>
      </c>
      <c r="E13" s="21">
        <v>23</v>
      </c>
      <c r="F13" s="21">
        <v>22</v>
      </c>
      <c r="G13" s="21">
        <v>20</v>
      </c>
      <c r="H13" s="21">
        <v>18</v>
      </c>
      <c r="I13" s="21">
        <v>18</v>
      </c>
    </row>
    <row r="14" spans="1:9" x14ac:dyDescent="0.2">
      <c r="A14" t="s">
        <v>1949</v>
      </c>
      <c r="D14" s="21"/>
      <c r="E14" s="21"/>
      <c r="F14" s="21"/>
      <c r="G14" s="21"/>
      <c r="H14" s="21"/>
      <c r="I14" s="21"/>
    </row>
    <row r="15" spans="1:9" x14ac:dyDescent="0.2">
      <c r="A15" t="s">
        <v>1967</v>
      </c>
      <c r="D15" s="21">
        <v>5</v>
      </c>
      <c r="E15" s="21"/>
      <c r="F15" s="21"/>
      <c r="G15" s="21"/>
      <c r="H15" s="21"/>
      <c r="I15" s="21"/>
    </row>
    <row r="16" spans="1:9" x14ac:dyDescent="0.2">
      <c r="A16" t="s">
        <v>1966</v>
      </c>
      <c r="D16" s="21"/>
      <c r="E16" s="21"/>
      <c r="F16" s="21"/>
      <c r="G16" s="21"/>
      <c r="H16" s="21"/>
      <c r="I16" s="21"/>
    </row>
    <row r="17" spans="1:9" x14ac:dyDescent="0.2">
      <c r="D17" s="21"/>
      <c r="E17" s="21"/>
      <c r="F17" s="21"/>
      <c r="G17" s="21"/>
      <c r="H17" s="21"/>
      <c r="I17" s="21"/>
    </row>
    <row r="18" spans="1:9" x14ac:dyDescent="0.2">
      <c r="A18" s="2" t="s">
        <v>26</v>
      </c>
      <c r="D18" s="21"/>
      <c r="E18" s="21"/>
      <c r="F18" s="21"/>
      <c r="G18" s="21"/>
      <c r="H18" s="21"/>
      <c r="I18" s="21"/>
    </row>
    <row r="19" spans="1:9" x14ac:dyDescent="0.2">
      <c r="D19" s="21"/>
      <c r="E19" s="21"/>
      <c r="F19" s="21"/>
      <c r="G19" s="21"/>
      <c r="H19" s="21"/>
      <c r="I19" s="21"/>
    </row>
    <row r="20" spans="1:9" x14ac:dyDescent="0.2">
      <c r="A20" t="s">
        <v>1911</v>
      </c>
      <c r="D20" s="21"/>
      <c r="E20" s="21"/>
      <c r="F20" s="21"/>
      <c r="G20" s="21"/>
      <c r="H20" s="21"/>
      <c r="I20" s="21"/>
    </row>
    <row r="21" spans="1:9" x14ac:dyDescent="0.2">
      <c r="A21" s="18" t="s">
        <v>1912</v>
      </c>
      <c r="B21" s="18"/>
      <c r="C21" s="18"/>
      <c r="D21" s="22"/>
      <c r="E21" s="22"/>
      <c r="F21" s="22"/>
      <c r="G21" s="22"/>
      <c r="H21" s="22"/>
      <c r="I21" s="22"/>
    </row>
    <row r="22" spans="1:9" x14ac:dyDescent="0.2">
      <c r="A22" t="s">
        <v>1916</v>
      </c>
      <c r="D22" s="21"/>
      <c r="E22" s="21"/>
      <c r="F22" s="21"/>
      <c r="G22" s="21"/>
      <c r="H22" s="21"/>
      <c r="I22" s="21"/>
    </row>
    <row r="23" spans="1:9" x14ac:dyDescent="0.2">
      <c r="D23" s="21"/>
      <c r="E23" s="21"/>
      <c r="F23" s="21"/>
      <c r="G23" s="21"/>
      <c r="H23" s="21"/>
      <c r="I23" s="21"/>
    </row>
    <row r="24" spans="1:9" x14ac:dyDescent="0.2">
      <c r="A24" t="s">
        <v>1913</v>
      </c>
      <c r="D24" s="21">
        <v>50</v>
      </c>
      <c r="E24" s="21">
        <v>50</v>
      </c>
      <c r="F24" s="21">
        <v>60</v>
      </c>
      <c r="G24" s="21">
        <v>65</v>
      </c>
      <c r="H24" s="21">
        <v>65</v>
      </c>
      <c r="I24" s="21">
        <v>65</v>
      </c>
    </row>
    <row r="25" spans="1:9" x14ac:dyDescent="0.2">
      <c r="A25" s="18" t="s">
        <v>1914</v>
      </c>
      <c r="B25" s="18"/>
      <c r="C25" s="18"/>
      <c r="D25" s="22">
        <v>48</v>
      </c>
      <c r="E25" s="22">
        <v>54</v>
      </c>
      <c r="F25" s="22">
        <v>59</v>
      </c>
      <c r="G25" s="22">
        <v>67</v>
      </c>
      <c r="H25" s="22">
        <v>67</v>
      </c>
      <c r="I25" s="22">
        <v>69</v>
      </c>
    </row>
    <row r="26" spans="1:9" x14ac:dyDescent="0.2">
      <c r="A26" t="s">
        <v>1917</v>
      </c>
      <c r="D26" s="21">
        <v>22</v>
      </c>
      <c r="E26" s="21">
        <v>22</v>
      </c>
      <c r="F26" s="21">
        <v>20</v>
      </c>
      <c r="G26" s="21">
        <v>20</v>
      </c>
      <c r="H26" s="21">
        <v>20</v>
      </c>
      <c r="I26" s="21">
        <v>20</v>
      </c>
    </row>
    <row r="27" spans="1:9" x14ac:dyDescent="0.2">
      <c r="D27" s="21"/>
      <c r="E27" s="21"/>
      <c r="F27" s="21"/>
      <c r="G27" s="21"/>
      <c r="H27" s="21"/>
      <c r="I27" s="21"/>
    </row>
    <row r="28" spans="1:9" x14ac:dyDescent="0.2">
      <c r="A28" t="s">
        <v>1908</v>
      </c>
      <c r="D28" s="21">
        <v>18</v>
      </c>
      <c r="E28" s="21">
        <v>18</v>
      </c>
      <c r="F28" s="21">
        <v>18</v>
      </c>
      <c r="G28" s="21">
        <v>18</v>
      </c>
      <c r="H28" s="21">
        <v>17</v>
      </c>
      <c r="I28" s="21">
        <v>17</v>
      </c>
    </row>
    <row r="29" spans="1:9" x14ac:dyDescent="0.2">
      <c r="A29" t="s">
        <v>1949</v>
      </c>
      <c r="D29" s="21"/>
      <c r="E29" s="21"/>
      <c r="F29" s="21"/>
      <c r="G29" s="21"/>
      <c r="H29" s="21"/>
      <c r="I29" s="21"/>
    </row>
    <row r="30" spans="1:9" x14ac:dyDescent="0.2">
      <c r="A30" t="s">
        <v>1950</v>
      </c>
      <c r="D30" s="21"/>
      <c r="E30" s="21"/>
      <c r="F30" s="21"/>
      <c r="G30" s="21">
        <v>2</v>
      </c>
      <c r="H30" s="21">
        <v>2</v>
      </c>
      <c r="I30" s="21">
        <v>2</v>
      </c>
    </row>
    <row r="31" spans="1:9" x14ac:dyDescent="0.2">
      <c r="D31" s="21"/>
      <c r="E31" s="21"/>
      <c r="F31" s="21"/>
      <c r="G31" s="21"/>
      <c r="H31" s="21"/>
      <c r="I31" s="21"/>
    </row>
    <row r="32" spans="1:9" hidden="1" x14ac:dyDescent="0.2">
      <c r="D32" s="21"/>
      <c r="E32" s="21"/>
      <c r="F32" s="21"/>
      <c r="G32" s="21"/>
      <c r="H32" s="21"/>
      <c r="I32" s="21"/>
    </row>
    <row r="33" spans="4:9" hidden="1" x14ac:dyDescent="0.2">
      <c r="D33" s="21"/>
      <c r="E33" s="21"/>
      <c r="F33" s="21"/>
      <c r="G33" s="21"/>
      <c r="H33" s="21"/>
      <c r="I33" s="21"/>
    </row>
    <row r="34" spans="4:9" hidden="1" x14ac:dyDescent="0.2">
      <c r="D34" s="21"/>
      <c r="E34" s="21"/>
      <c r="F34" s="21"/>
      <c r="G34" s="21"/>
      <c r="H34" s="21"/>
      <c r="I34" s="21"/>
    </row>
    <row r="35" spans="4:9" hidden="1" x14ac:dyDescent="0.2">
      <c r="D35" s="21"/>
      <c r="E35" s="21"/>
      <c r="F35" s="21"/>
      <c r="G35" s="21"/>
      <c r="H35" s="21"/>
      <c r="I35" s="21"/>
    </row>
    <row r="36" spans="4:9" hidden="1" x14ac:dyDescent="0.2">
      <c r="D36" s="21"/>
      <c r="E36" s="21"/>
      <c r="F36" s="21"/>
      <c r="G36" s="21"/>
      <c r="H36" s="21"/>
      <c r="I36" s="21"/>
    </row>
    <row r="37" spans="4:9" hidden="1" x14ac:dyDescent="0.2">
      <c r="D37" s="21"/>
      <c r="E37" s="21"/>
      <c r="F37" s="21"/>
      <c r="G37" s="21"/>
      <c r="H37" s="21"/>
      <c r="I37" s="21"/>
    </row>
    <row r="38" spans="4:9" hidden="1" x14ac:dyDescent="0.2">
      <c r="D38" s="21"/>
      <c r="E38" s="21"/>
      <c r="F38" s="21"/>
      <c r="G38" s="21"/>
      <c r="H38" s="21"/>
      <c r="I38" s="21"/>
    </row>
    <row r="39" spans="4:9" hidden="1" x14ac:dyDescent="0.2">
      <c r="D39" s="21"/>
      <c r="E39" s="21"/>
      <c r="F39" s="21"/>
      <c r="G39" s="21"/>
      <c r="H39" s="21"/>
      <c r="I39" s="21"/>
    </row>
    <row r="40" spans="4:9" hidden="1" x14ac:dyDescent="0.2">
      <c r="D40" s="21"/>
      <c r="E40" s="21"/>
      <c r="F40" s="21"/>
      <c r="G40" s="21"/>
      <c r="H40" s="21"/>
      <c r="I40" s="21"/>
    </row>
    <row r="41" spans="4:9" hidden="1" x14ac:dyDescent="0.2">
      <c r="D41" s="21"/>
      <c r="E41" s="21"/>
      <c r="F41" s="21"/>
      <c r="G41" s="21"/>
      <c r="H41" s="21"/>
      <c r="I41" s="21"/>
    </row>
    <row r="42" spans="4:9" hidden="1" x14ac:dyDescent="0.2">
      <c r="D42" s="21"/>
      <c r="E42" s="21"/>
      <c r="F42" s="21"/>
      <c r="G42" s="21"/>
      <c r="H42" s="21"/>
      <c r="I42" s="21"/>
    </row>
    <row r="43" spans="4:9" hidden="1" x14ac:dyDescent="0.2">
      <c r="D43" s="21"/>
      <c r="E43" s="21"/>
      <c r="F43" s="21"/>
      <c r="G43" s="21"/>
      <c r="H43" s="21"/>
      <c r="I43" s="21"/>
    </row>
    <row r="44" spans="4:9" hidden="1" x14ac:dyDescent="0.2">
      <c r="D44" s="21"/>
      <c r="E44" s="21"/>
      <c r="F44" s="21"/>
      <c r="G44" s="21"/>
      <c r="H44" s="21"/>
      <c r="I44" s="21"/>
    </row>
    <row r="45" spans="4:9" hidden="1" x14ac:dyDescent="0.2">
      <c r="D45" s="21"/>
      <c r="E45" s="21"/>
      <c r="F45" s="21"/>
      <c r="G45" s="21"/>
      <c r="H45" s="21"/>
      <c r="I45" s="21"/>
    </row>
    <row r="46" spans="4:9" hidden="1" x14ac:dyDescent="0.2">
      <c r="D46" s="21"/>
      <c r="E46" s="21"/>
      <c r="F46" s="21"/>
      <c r="G46" s="21"/>
      <c r="H46" s="21"/>
      <c r="I46" s="21"/>
    </row>
    <row r="47" spans="4:9" hidden="1" x14ac:dyDescent="0.2">
      <c r="D47" s="21"/>
      <c r="E47" s="21"/>
      <c r="F47" s="21"/>
      <c r="G47" s="21"/>
      <c r="H47" s="21"/>
      <c r="I47" s="21"/>
    </row>
    <row r="48" spans="4:9" hidden="1" x14ac:dyDescent="0.2">
      <c r="D48" s="21"/>
      <c r="E48" s="21"/>
      <c r="F48" s="21"/>
      <c r="G48" s="21"/>
      <c r="H48" s="21"/>
      <c r="I48" s="21"/>
    </row>
    <row r="49" spans="1:9" hidden="1" x14ac:dyDescent="0.2">
      <c r="D49" s="21"/>
      <c r="E49" s="21"/>
      <c r="F49" s="21"/>
      <c r="G49" s="21"/>
      <c r="H49" s="21"/>
      <c r="I49" s="21"/>
    </row>
    <row r="50" spans="1:9" hidden="1" x14ac:dyDescent="0.2">
      <c r="D50" s="21"/>
      <c r="E50" s="21"/>
      <c r="F50" s="21"/>
      <c r="G50" s="21"/>
      <c r="H50" s="21"/>
      <c r="I50" s="21"/>
    </row>
    <row r="51" spans="1:9" hidden="1" x14ac:dyDescent="0.2">
      <c r="D51" s="21"/>
      <c r="E51" s="21"/>
      <c r="F51" s="21"/>
      <c r="G51" s="21"/>
      <c r="H51" s="21"/>
      <c r="I51" s="21"/>
    </row>
    <row r="52" spans="1:9" hidden="1" x14ac:dyDescent="0.2">
      <c r="D52" s="21"/>
      <c r="E52" s="21"/>
      <c r="F52" s="21"/>
      <c r="G52" s="21"/>
      <c r="H52" s="21"/>
      <c r="I52" s="21"/>
    </row>
    <row r="53" spans="1:9" x14ac:dyDescent="0.2">
      <c r="A53" s="2" t="s">
        <v>25</v>
      </c>
      <c r="D53" s="21"/>
      <c r="E53" s="21"/>
      <c r="F53" s="21"/>
      <c r="G53" s="21"/>
      <c r="H53" s="21"/>
      <c r="I53" s="21"/>
    </row>
    <row r="54" spans="1:9" x14ac:dyDescent="0.2">
      <c r="D54" s="21"/>
      <c r="E54" s="21"/>
      <c r="F54" s="21"/>
      <c r="G54" s="21"/>
      <c r="H54" s="21"/>
      <c r="I54" s="21"/>
    </row>
    <row r="55" spans="1:9" x14ac:dyDescent="0.2">
      <c r="A55" t="s">
        <v>1988</v>
      </c>
      <c r="D55" s="21">
        <v>50</v>
      </c>
      <c r="E55" s="21">
        <v>50</v>
      </c>
      <c r="F55" s="21">
        <v>50</v>
      </c>
      <c r="G55" s="21">
        <v>25</v>
      </c>
      <c r="H55" s="21">
        <v>50</v>
      </c>
      <c r="I55" s="21">
        <v>50</v>
      </c>
    </row>
    <row r="56" spans="1:9" x14ac:dyDescent="0.2">
      <c r="A56" t="s">
        <v>1989</v>
      </c>
      <c r="D56" s="21">
        <v>1.24</v>
      </c>
      <c r="E56" s="21">
        <v>1.4</v>
      </c>
      <c r="F56" s="21">
        <v>1.4</v>
      </c>
      <c r="G56" s="21">
        <v>1.19</v>
      </c>
      <c r="H56" s="21">
        <v>1.22</v>
      </c>
      <c r="I56" s="21">
        <v>1.27</v>
      </c>
    </row>
    <row r="57" spans="1:9" x14ac:dyDescent="0.2">
      <c r="D57" s="21"/>
      <c r="E57" s="21"/>
      <c r="F57" s="21"/>
      <c r="G57" s="21"/>
      <c r="H57" s="21"/>
      <c r="I57" s="21"/>
    </row>
    <row r="58" spans="1:9" x14ac:dyDescent="0.2">
      <c r="A58" s="2" t="s">
        <v>26</v>
      </c>
      <c r="D58" s="21"/>
      <c r="E58" s="21"/>
      <c r="F58" s="21"/>
      <c r="G58" s="21"/>
      <c r="H58" s="21"/>
      <c r="I58" s="21"/>
    </row>
    <row r="59" spans="1:9" x14ac:dyDescent="0.2">
      <c r="D59" s="21"/>
      <c r="E59" s="21"/>
      <c r="F59" s="21"/>
      <c r="G59" s="21"/>
      <c r="H59" s="21"/>
      <c r="I59" s="21"/>
    </row>
    <row r="60" spans="1:9" x14ac:dyDescent="0.2">
      <c r="A60" t="s">
        <v>1988</v>
      </c>
      <c r="D60" s="21">
        <v>50</v>
      </c>
      <c r="E60" s="21">
        <v>24</v>
      </c>
      <c r="F60" s="21">
        <v>50</v>
      </c>
      <c r="G60" s="21">
        <v>50</v>
      </c>
      <c r="H60" s="21">
        <v>49</v>
      </c>
      <c r="I60" s="21">
        <v>50</v>
      </c>
    </row>
    <row r="61" spans="1:9" x14ac:dyDescent="0.2">
      <c r="A61" t="s">
        <v>1989</v>
      </c>
      <c r="D61" s="21">
        <v>1.42</v>
      </c>
      <c r="E61" s="21">
        <v>1.17</v>
      </c>
      <c r="F61" s="21">
        <v>1.39</v>
      </c>
      <c r="G61" s="21">
        <v>1.36</v>
      </c>
      <c r="H61" s="21">
        <v>1.42</v>
      </c>
      <c r="I61" s="21">
        <v>1.45</v>
      </c>
    </row>
    <row r="62" spans="1:9" x14ac:dyDescent="0.2">
      <c r="A62" s="19"/>
      <c r="B62" s="19"/>
      <c r="C62" s="19"/>
      <c r="D62" s="23"/>
      <c r="E62" s="23"/>
      <c r="F62" s="23"/>
      <c r="G62" s="23"/>
      <c r="H62" s="23"/>
      <c r="I62" s="23"/>
    </row>
    <row r="63" spans="1:9" hidden="1" x14ac:dyDescent="0.2">
      <c r="D63" s="21"/>
      <c r="E63" s="21"/>
      <c r="F63" s="21"/>
      <c r="G63" s="21"/>
      <c r="H63" s="21"/>
      <c r="I63" s="21"/>
    </row>
    <row r="64" spans="1:9" hidden="1" x14ac:dyDescent="0.2">
      <c r="D64" s="21"/>
      <c r="E64" s="21"/>
      <c r="F64" s="21"/>
      <c r="G64" s="21"/>
      <c r="H64" s="21"/>
      <c r="I64" s="21"/>
    </row>
    <row r="65" spans="4:9" hidden="1" x14ac:dyDescent="0.2">
      <c r="D65" s="21"/>
      <c r="E65" s="21"/>
      <c r="F65" s="21"/>
      <c r="G65" s="21"/>
      <c r="H65" s="21"/>
      <c r="I65" s="21"/>
    </row>
    <row r="66" spans="4:9" hidden="1" x14ac:dyDescent="0.2">
      <c r="D66" s="21"/>
      <c r="E66" s="21"/>
      <c r="F66" s="21"/>
      <c r="G66" s="21"/>
      <c r="H66" s="21"/>
      <c r="I66" s="21"/>
    </row>
    <row r="67" spans="4:9" hidden="1" x14ac:dyDescent="0.2">
      <c r="D67" s="21"/>
      <c r="E67" s="21"/>
      <c r="F67" s="21"/>
      <c r="G67" s="21"/>
      <c r="H67" s="21"/>
      <c r="I67" s="21"/>
    </row>
    <row r="68" spans="4:9" hidden="1" x14ac:dyDescent="0.2">
      <c r="D68" s="21"/>
      <c r="E68" s="21"/>
      <c r="F68" s="21"/>
      <c r="G68" s="21"/>
      <c r="H68" s="21"/>
      <c r="I68" s="21"/>
    </row>
    <row r="69" spans="4:9" hidden="1" x14ac:dyDescent="0.2">
      <c r="D69" s="21"/>
      <c r="E69" s="21"/>
      <c r="F69" s="21"/>
      <c r="G69" s="21"/>
      <c r="H69" s="21"/>
      <c r="I69" s="21"/>
    </row>
    <row r="70" spans="4:9" hidden="1" x14ac:dyDescent="0.2">
      <c r="D70" s="21"/>
      <c r="E70" s="21"/>
      <c r="F70" s="21"/>
      <c r="G70" s="21"/>
      <c r="H70" s="21"/>
      <c r="I70" s="21"/>
    </row>
    <row r="71" spans="4:9" hidden="1" x14ac:dyDescent="0.2">
      <c r="D71" s="21"/>
      <c r="E71" s="21"/>
      <c r="F71" s="21"/>
      <c r="G71" s="21"/>
      <c r="H71" s="21"/>
      <c r="I71" s="21"/>
    </row>
    <row r="72" spans="4:9" hidden="1" x14ac:dyDescent="0.2">
      <c r="D72" s="21"/>
      <c r="E72" s="21"/>
      <c r="F72" s="21"/>
      <c r="G72" s="21"/>
      <c r="H72" s="21"/>
      <c r="I72" s="21"/>
    </row>
    <row r="73" spans="4:9" hidden="1" x14ac:dyDescent="0.2">
      <c r="D73" s="21"/>
      <c r="E73" s="21"/>
      <c r="F73" s="21"/>
      <c r="G73" s="21"/>
      <c r="H73" s="21"/>
      <c r="I73" s="21"/>
    </row>
    <row r="74" spans="4:9" hidden="1" x14ac:dyDescent="0.2">
      <c r="D74" s="21"/>
      <c r="E74" s="21"/>
      <c r="F74" s="21"/>
      <c r="G74" s="21"/>
      <c r="H74" s="21"/>
      <c r="I74" s="21"/>
    </row>
    <row r="75" spans="4:9" hidden="1" x14ac:dyDescent="0.2">
      <c r="D75" s="21"/>
      <c r="E75" s="21"/>
      <c r="F75" s="21"/>
      <c r="G75" s="21"/>
      <c r="H75" s="21"/>
      <c r="I75" s="21"/>
    </row>
    <row r="76" spans="4:9" hidden="1" x14ac:dyDescent="0.2">
      <c r="D76" s="21"/>
      <c r="E76" s="21"/>
      <c r="F76" s="21"/>
      <c r="G76" s="21"/>
      <c r="H76" s="21"/>
      <c r="I76" s="21"/>
    </row>
    <row r="77" spans="4:9" hidden="1" x14ac:dyDescent="0.2">
      <c r="D77" s="21"/>
      <c r="E77" s="21"/>
      <c r="F77" s="21"/>
      <c r="G77" s="21"/>
      <c r="H77" s="21"/>
      <c r="I77" s="21"/>
    </row>
    <row r="78" spans="4:9" hidden="1" x14ac:dyDescent="0.2">
      <c r="D78" s="21"/>
      <c r="E78" s="21"/>
      <c r="F78" s="21"/>
      <c r="G78" s="21"/>
      <c r="H78" s="21"/>
      <c r="I78" s="21"/>
    </row>
    <row r="79" spans="4:9" hidden="1" x14ac:dyDescent="0.2">
      <c r="D79" s="21"/>
      <c r="E79" s="21"/>
      <c r="F79" s="21"/>
      <c r="G79" s="21"/>
      <c r="H79" s="21"/>
      <c r="I79" s="21"/>
    </row>
    <row r="80" spans="4:9" hidden="1" x14ac:dyDescent="0.2">
      <c r="D80" s="21"/>
      <c r="E80" s="21"/>
      <c r="F80" s="21"/>
      <c r="G80" s="21"/>
      <c r="H80" s="21"/>
      <c r="I80" s="21"/>
    </row>
    <row r="81" spans="1:9" hidden="1" x14ac:dyDescent="0.2">
      <c r="D81" s="21"/>
      <c r="E81" s="21"/>
      <c r="F81" s="21"/>
      <c r="G81" s="21"/>
      <c r="H81" s="21"/>
      <c r="I81" s="21"/>
    </row>
    <row r="82" spans="1:9" hidden="1" x14ac:dyDescent="0.2">
      <c r="D82" s="21"/>
      <c r="E82" s="21"/>
      <c r="F82" s="21"/>
      <c r="G82" s="21"/>
      <c r="H82" s="21"/>
      <c r="I82" s="21"/>
    </row>
    <row r="83" spans="1:9" x14ac:dyDescent="0.2">
      <c r="A83" s="2" t="s">
        <v>1983</v>
      </c>
      <c r="D83" s="21"/>
      <c r="E83" s="21"/>
      <c r="F83" s="21"/>
      <c r="G83" s="21"/>
      <c r="H83" s="21"/>
      <c r="I83" s="21"/>
    </row>
    <row r="84" spans="1:9" x14ac:dyDescent="0.2">
      <c r="D84" s="21"/>
      <c r="E84" s="21"/>
      <c r="F84" s="21"/>
      <c r="G84" s="21"/>
      <c r="H84" s="21"/>
      <c r="I84" s="21"/>
    </row>
    <row r="85" spans="1:9" x14ac:dyDescent="0.2">
      <c r="A85" s="2" t="s">
        <v>25</v>
      </c>
      <c r="D85" s="21"/>
      <c r="E85" s="21"/>
      <c r="F85" s="21"/>
      <c r="G85" s="21"/>
      <c r="H85" s="21"/>
      <c r="I85" s="21"/>
    </row>
    <row r="86" spans="1:9" x14ac:dyDescent="0.2">
      <c r="D86" s="21"/>
      <c r="E86" s="21"/>
      <c r="F86" s="21"/>
      <c r="G86" s="21"/>
      <c r="H86" s="21"/>
      <c r="I86" s="21"/>
    </row>
    <row r="87" spans="1:9" x14ac:dyDescent="0.2">
      <c r="A87" t="s">
        <v>1984</v>
      </c>
      <c r="D87" s="21">
        <v>118</v>
      </c>
      <c r="E87" s="21">
        <v>118</v>
      </c>
      <c r="F87" s="21">
        <v>118</v>
      </c>
      <c r="G87" s="21">
        <v>110</v>
      </c>
      <c r="H87" s="21">
        <v>105</v>
      </c>
      <c r="I87" s="21">
        <v>104</v>
      </c>
    </row>
    <row r="88" spans="1:9" x14ac:dyDescent="0.2">
      <c r="A88" t="s">
        <v>1985</v>
      </c>
      <c r="D88" s="21">
        <v>384</v>
      </c>
      <c r="E88" s="21">
        <v>384</v>
      </c>
      <c r="F88" s="21">
        <v>383</v>
      </c>
      <c r="G88" s="21">
        <v>368</v>
      </c>
      <c r="H88" s="21">
        <v>358</v>
      </c>
      <c r="I88" s="21">
        <v>358</v>
      </c>
    </row>
    <row r="89" spans="1:9" x14ac:dyDescent="0.2">
      <c r="A89" t="s">
        <v>1986</v>
      </c>
      <c r="D89" s="21">
        <v>206</v>
      </c>
      <c r="E89" s="21">
        <v>206</v>
      </c>
      <c r="F89" s="21">
        <v>208</v>
      </c>
      <c r="G89" s="21">
        <v>215</v>
      </c>
      <c r="H89" s="21">
        <v>210</v>
      </c>
      <c r="I89" s="21">
        <v>210</v>
      </c>
    </row>
    <row r="90" spans="1:9" x14ac:dyDescent="0.2">
      <c r="A90" t="s">
        <v>1987</v>
      </c>
      <c r="D90" s="21">
        <v>335</v>
      </c>
      <c r="E90" s="21">
        <v>335</v>
      </c>
      <c r="F90" s="21">
        <v>335</v>
      </c>
      <c r="G90" s="21">
        <v>335</v>
      </c>
      <c r="H90" s="21">
        <v>335</v>
      </c>
      <c r="I90" s="21">
        <v>335</v>
      </c>
    </row>
    <row r="91" spans="1:9" x14ac:dyDescent="0.2">
      <c r="D91" s="21"/>
      <c r="E91" s="21"/>
      <c r="F91" s="21"/>
      <c r="G91" s="21"/>
      <c r="H91" s="21"/>
      <c r="I91" s="21"/>
    </row>
    <row r="92" spans="1:9" x14ac:dyDescent="0.2">
      <c r="A92" s="2" t="s">
        <v>26</v>
      </c>
      <c r="D92" s="21"/>
      <c r="E92" s="21"/>
      <c r="F92" s="21"/>
      <c r="G92" s="21"/>
      <c r="H92" s="21"/>
      <c r="I92" s="21"/>
    </row>
    <row r="93" spans="1:9" x14ac:dyDescent="0.2">
      <c r="D93" s="21"/>
      <c r="E93" s="21"/>
      <c r="F93" s="21"/>
      <c r="G93" s="21"/>
      <c r="H93" s="21"/>
      <c r="I93" s="21"/>
    </row>
    <row r="94" spans="1:9" x14ac:dyDescent="0.2">
      <c r="A94" t="s">
        <v>1984</v>
      </c>
      <c r="D94" s="21">
        <v>116</v>
      </c>
      <c r="E94" s="21">
        <v>115</v>
      </c>
      <c r="F94" s="21">
        <v>116</v>
      </c>
      <c r="G94" s="21">
        <v>114</v>
      </c>
      <c r="H94" s="21">
        <v>116</v>
      </c>
      <c r="I94" s="21">
        <v>115</v>
      </c>
    </row>
    <row r="95" spans="1:9" x14ac:dyDescent="0.2">
      <c r="A95" t="s">
        <v>1985</v>
      </c>
      <c r="D95" s="21">
        <v>358</v>
      </c>
      <c r="E95" s="21">
        <v>358</v>
      </c>
      <c r="F95" s="21">
        <v>358</v>
      </c>
      <c r="G95" s="21">
        <v>358</v>
      </c>
      <c r="H95" s="21">
        <v>363</v>
      </c>
      <c r="I95" s="21">
        <v>362</v>
      </c>
    </row>
    <row r="96" spans="1:9" x14ac:dyDescent="0.2">
      <c r="A96" t="s">
        <v>1986</v>
      </c>
      <c r="D96" s="21">
        <v>208</v>
      </c>
      <c r="E96" s="21">
        <v>206</v>
      </c>
      <c r="F96" s="21">
        <v>209</v>
      </c>
      <c r="G96" s="21">
        <v>208</v>
      </c>
      <c r="H96" s="21">
        <v>212</v>
      </c>
      <c r="I96" s="21">
        <v>211</v>
      </c>
    </row>
    <row r="97" spans="1:9" x14ac:dyDescent="0.2">
      <c r="A97" t="s">
        <v>1987</v>
      </c>
      <c r="D97" s="21">
        <v>335</v>
      </c>
      <c r="E97" s="21">
        <v>333</v>
      </c>
      <c r="F97" s="21">
        <v>333</v>
      </c>
      <c r="G97" s="21">
        <v>333</v>
      </c>
      <c r="H97" s="21">
        <v>333</v>
      </c>
      <c r="I97" s="21">
        <v>333</v>
      </c>
    </row>
    <row r="98" spans="1:9" x14ac:dyDescent="0.2">
      <c r="D98" s="21"/>
      <c r="E98" s="21"/>
      <c r="F98" s="21"/>
      <c r="G98" s="21"/>
      <c r="H98" s="21"/>
      <c r="I98" s="21"/>
    </row>
    <row r="99" spans="1:9" hidden="1" x14ac:dyDescent="0.2">
      <c r="D99" s="21"/>
      <c r="E99" s="21"/>
      <c r="F99" s="21"/>
      <c r="G99" s="21"/>
      <c r="H99" s="21"/>
      <c r="I99" s="21"/>
    </row>
    <row r="100" spans="1:9" hidden="1" x14ac:dyDescent="0.2">
      <c r="D100" s="21"/>
      <c r="E100" s="21"/>
      <c r="F100" s="21"/>
      <c r="G100" s="21"/>
      <c r="H100" s="21"/>
      <c r="I100" s="21"/>
    </row>
    <row r="101" spans="1:9" hidden="1" x14ac:dyDescent="0.2">
      <c r="D101" s="21"/>
      <c r="E101" s="21"/>
      <c r="F101" s="21"/>
      <c r="G101" s="21"/>
      <c r="H101" s="21"/>
      <c r="I101" s="21"/>
    </row>
    <row r="102" spans="1:9" hidden="1" x14ac:dyDescent="0.2">
      <c r="D102" s="21"/>
      <c r="E102" s="21"/>
      <c r="F102" s="21"/>
      <c r="G102" s="21"/>
      <c r="H102" s="21"/>
      <c r="I102" s="21"/>
    </row>
    <row r="103" spans="1:9" hidden="1" x14ac:dyDescent="0.2">
      <c r="D103" s="21"/>
      <c r="E103" s="21"/>
      <c r="F103" s="21"/>
      <c r="G103" s="21"/>
      <c r="H103" s="21"/>
      <c r="I103" s="21"/>
    </row>
    <row r="104" spans="1:9" hidden="1" x14ac:dyDescent="0.2">
      <c r="D104" s="21"/>
      <c r="E104" s="21"/>
      <c r="F104" s="21"/>
      <c r="G104" s="21"/>
      <c r="H104" s="21"/>
      <c r="I104" s="21"/>
    </row>
    <row r="105" spans="1:9" hidden="1" x14ac:dyDescent="0.2">
      <c r="D105" s="21"/>
      <c r="E105" s="21"/>
      <c r="F105" s="21"/>
      <c r="G105" s="21"/>
      <c r="H105" s="21"/>
      <c r="I105" s="21"/>
    </row>
    <row r="106" spans="1:9" hidden="1" x14ac:dyDescent="0.2">
      <c r="D106" s="21"/>
      <c r="E106" s="21"/>
      <c r="F106" s="21"/>
      <c r="G106" s="21"/>
      <c r="H106" s="21"/>
      <c r="I106" s="21"/>
    </row>
    <row r="107" spans="1:9" hidden="1" x14ac:dyDescent="0.2">
      <c r="D107" s="21"/>
      <c r="E107" s="21"/>
      <c r="F107" s="21"/>
      <c r="G107" s="21"/>
      <c r="H107" s="21"/>
      <c r="I107" s="21"/>
    </row>
    <row r="108" spans="1:9" hidden="1" x14ac:dyDescent="0.2">
      <c r="D108" s="21"/>
      <c r="E108" s="21"/>
      <c r="F108" s="21"/>
      <c r="G108" s="21"/>
      <c r="H108" s="21"/>
      <c r="I108" s="21"/>
    </row>
    <row r="109" spans="1:9" hidden="1" x14ac:dyDescent="0.2">
      <c r="D109" s="21"/>
      <c r="E109" s="21"/>
      <c r="F109" s="21"/>
      <c r="G109" s="21"/>
      <c r="H109" s="21"/>
      <c r="I109" s="21"/>
    </row>
    <row r="110" spans="1:9" hidden="1" x14ac:dyDescent="0.2">
      <c r="D110" s="21"/>
      <c r="E110" s="21"/>
      <c r="F110" s="21"/>
      <c r="G110" s="21"/>
      <c r="H110" s="21"/>
      <c r="I110" s="21"/>
    </row>
    <row r="111" spans="1:9" hidden="1" x14ac:dyDescent="0.2">
      <c r="D111" s="21"/>
      <c r="E111" s="21"/>
      <c r="F111" s="21"/>
      <c r="G111" s="21"/>
      <c r="H111" s="21"/>
      <c r="I111" s="21"/>
    </row>
    <row r="112" spans="1:9" hidden="1" x14ac:dyDescent="0.2">
      <c r="D112" s="21"/>
      <c r="E112" s="21"/>
      <c r="F112" s="21"/>
      <c r="G112" s="21"/>
      <c r="H112" s="21"/>
      <c r="I112" s="21"/>
    </row>
    <row r="113" spans="1:9" hidden="1" x14ac:dyDescent="0.2">
      <c r="D113" s="21"/>
      <c r="E113" s="21"/>
      <c r="F113" s="21"/>
      <c r="G113" s="21"/>
      <c r="H113" s="21"/>
      <c r="I113" s="21"/>
    </row>
    <row r="114" spans="1:9" hidden="1" x14ac:dyDescent="0.2">
      <c r="D114" s="21"/>
      <c r="E114" s="21"/>
      <c r="F114" s="21"/>
      <c r="G114" s="21"/>
      <c r="H114" s="21"/>
      <c r="I114" s="21"/>
    </row>
    <row r="115" spans="1:9" hidden="1" x14ac:dyDescent="0.2">
      <c r="D115" s="21"/>
      <c r="E115" s="21"/>
      <c r="F115" s="21"/>
      <c r="G115" s="21"/>
      <c r="H115" s="21"/>
      <c r="I115" s="21"/>
    </row>
    <row r="116" spans="1:9" hidden="1" x14ac:dyDescent="0.2">
      <c r="D116" s="21"/>
      <c r="E116" s="21"/>
      <c r="F116" s="21"/>
      <c r="G116" s="21"/>
      <c r="H116" s="21"/>
      <c r="I116" s="21"/>
    </row>
    <row r="117" spans="1:9" hidden="1" x14ac:dyDescent="0.2">
      <c r="D117" s="21"/>
      <c r="E117" s="21"/>
      <c r="F117" s="21"/>
      <c r="G117" s="21"/>
      <c r="H117" s="21"/>
      <c r="I117" s="21"/>
    </row>
    <row r="118" spans="1:9" hidden="1" x14ac:dyDescent="0.2">
      <c r="D118" s="21"/>
      <c r="E118" s="21"/>
      <c r="F118" s="21"/>
      <c r="G118" s="21"/>
      <c r="H118" s="21"/>
      <c r="I118" s="21"/>
    </row>
    <row r="119" spans="1:9" x14ac:dyDescent="0.2">
      <c r="A119" s="2" t="s">
        <v>2044</v>
      </c>
      <c r="D119" s="21"/>
      <c r="E119" s="21"/>
      <c r="F119" s="21"/>
      <c r="G119" s="21"/>
      <c r="H119" s="21"/>
      <c r="I119" s="21"/>
    </row>
    <row r="120" spans="1:9" x14ac:dyDescent="0.2">
      <c r="D120" s="21"/>
      <c r="E120" s="21"/>
      <c r="F120" s="21"/>
      <c r="G120" s="21"/>
      <c r="H120" s="21"/>
      <c r="I120" s="21"/>
    </row>
    <row r="121" spans="1:9" x14ac:dyDescent="0.2">
      <c r="A121" t="s">
        <v>2045</v>
      </c>
      <c r="D121" s="21">
        <v>60</v>
      </c>
      <c r="E121" s="21">
        <v>60</v>
      </c>
      <c r="F121" s="21">
        <v>60</v>
      </c>
      <c r="G121" s="21">
        <v>60</v>
      </c>
      <c r="H121" s="21">
        <v>60</v>
      </c>
      <c r="I121" s="21">
        <v>60</v>
      </c>
    </row>
    <row r="122" spans="1:9" x14ac:dyDescent="0.2">
      <c r="A122" t="s">
        <v>2046</v>
      </c>
      <c r="D122" s="21">
        <v>28</v>
      </c>
      <c r="E122" s="21">
        <v>28</v>
      </c>
      <c r="F122" s="21">
        <v>27</v>
      </c>
      <c r="G122" s="21">
        <v>26</v>
      </c>
      <c r="H122" s="21">
        <v>26</v>
      </c>
      <c r="I122" s="21">
        <v>27</v>
      </c>
    </row>
    <row r="123" spans="1:9" x14ac:dyDescent="0.2">
      <c r="A123" t="s">
        <v>2047</v>
      </c>
      <c r="D123" s="21">
        <v>23</v>
      </c>
      <c r="E123" s="21">
        <v>23</v>
      </c>
      <c r="F123" s="21">
        <v>22</v>
      </c>
      <c r="G123" s="21">
        <v>20</v>
      </c>
      <c r="H123" s="21">
        <v>18</v>
      </c>
      <c r="I123" s="21">
        <v>18</v>
      </c>
    </row>
    <row r="124" spans="1:9" x14ac:dyDescent="0.2">
      <c r="D124" s="21"/>
      <c r="E124" s="21"/>
      <c r="F124" s="21"/>
      <c r="G124" s="21"/>
      <c r="H124" s="21"/>
      <c r="I124" s="21"/>
    </row>
    <row r="125" spans="1:9" x14ac:dyDescent="0.2">
      <c r="A125" t="s">
        <v>2050</v>
      </c>
      <c r="D125" s="21">
        <v>60</v>
      </c>
      <c r="E125" s="21">
        <v>60</v>
      </c>
      <c r="F125" s="21">
        <v>60</v>
      </c>
      <c r="G125" s="21">
        <v>60</v>
      </c>
      <c r="H125" s="21">
        <v>60</v>
      </c>
      <c r="I125" s="21">
        <v>60</v>
      </c>
    </row>
    <row r="126" spans="1:9" x14ac:dyDescent="0.2">
      <c r="A126" t="s">
        <v>2048</v>
      </c>
      <c r="D126" s="21">
        <v>27</v>
      </c>
      <c r="E126" s="21">
        <v>27</v>
      </c>
      <c r="F126" s="21">
        <v>27</v>
      </c>
      <c r="G126" s="21">
        <v>27</v>
      </c>
      <c r="H126" s="21">
        <v>27</v>
      </c>
      <c r="I126" s="21">
        <v>27</v>
      </c>
    </row>
    <row r="127" spans="1:9" x14ac:dyDescent="0.2">
      <c r="A127" t="s">
        <v>2049</v>
      </c>
      <c r="D127" s="21">
        <v>18</v>
      </c>
      <c r="E127" s="21">
        <v>18</v>
      </c>
      <c r="F127" s="21">
        <v>18</v>
      </c>
      <c r="G127" s="21">
        <v>18</v>
      </c>
      <c r="H127" s="21">
        <v>17</v>
      </c>
      <c r="I127" s="21">
        <v>17</v>
      </c>
    </row>
    <row r="128" spans="1:9" x14ac:dyDescent="0.2">
      <c r="D128" s="21"/>
      <c r="E128" s="21"/>
      <c r="F128" s="21"/>
      <c r="G128" s="21"/>
      <c r="H128" s="21"/>
      <c r="I128" s="21"/>
    </row>
    <row r="129" spans="1:9" x14ac:dyDescent="0.2">
      <c r="A129" t="s">
        <v>2051</v>
      </c>
      <c r="D129" s="21">
        <v>24.3</v>
      </c>
      <c r="E129" s="21"/>
      <c r="F129" s="21"/>
      <c r="G129" s="21"/>
      <c r="H129" s="21"/>
      <c r="I129" s="21"/>
    </row>
    <row r="130" spans="1:9" x14ac:dyDescent="0.2">
      <c r="A130" s="19"/>
      <c r="B130" s="19"/>
      <c r="C130" s="19"/>
      <c r="D130" s="23"/>
      <c r="E130" s="23"/>
      <c r="F130" s="23"/>
      <c r="G130" s="23"/>
      <c r="H130" s="23"/>
      <c r="I130" s="23"/>
    </row>
    <row r="131" spans="1:9" hidden="1" x14ac:dyDescent="0.2">
      <c r="D131" s="21"/>
      <c r="E131" s="21"/>
      <c r="F131" s="21"/>
      <c r="G131" s="21"/>
      <c r="H131" s="21"/>
      <c r="I131" s="21"/>
    </row>
    <row r="132" spans="1:9" hidden="1" x14ac:dyDescent="0.2">
      <c r="D132" s="21"/>
      <c r="E132" s="21"/>
      <c r="F132" s="21"/>
      <c r="G132" s="21"/>
      <c r="H132" s="21"/>
      <c r="I132" s="21"/>
    </row>
    <row r="133" spans="1:9" hidden="1" x14ac:dyDescent="0.2">
      <c r="D133" s="21"/>
      <c r="E133" s="21"/>
      <c r="F133" s="21"/>
      <c r="G133" s="21"/>
      <c r="H133" s="21"/>
      <c r="I133" s="21"/>
    </row>
    <row r="134" spans="1:9" hidden="1" x14ac:dyDescent="0.2">
      <c r="D134" s="21"/>
      <c r="E134" s="21"/>
      <c r="F134" s="21"/>
      <c r="G134" s="21"/>
      <c r="H134" s="21"/>
      <c r="I134" s="21"/>
    </row>
    <row r="135" spans="1:9" hidden="1" x14ac:dyDescent="0.2">
      <c r="D135" s="21"/>
      <c r="E135" s="21"/>
      <c r="F135" s="21"/>
      <c r="G135" s="21"/>
      <c r="H135" s="21"/>
      <c r="I135" s="21"/>
    </row>
    <row r="136" spans="1:9" hidden="1" x14ac:dyDescent="0.2">
      <c r="D136" s="21"/>
      <c r="E136" s="21"/>
      <c r="F136" s="21"/>
      <c r="G136" s="21"/>
      <c r="H136" s="21"/>
      <c r="I136" s="21"/>
    </row>
    <row r="137" spans="1:9" hidden="1" x14ac:dyDescent="0.2">
      <c r="D137" s="21"/>
      <c r="E137" s="21"/>
      <c r="F137" s="21"/>
      <c r="G137" s="21"/>
      <c r="H137" s="21"/>
      <c r="I137" s="21"/>
    </row>
    <row r="138" spans="1:9" hidden="1" x14ac:dyDescent="0.2">
      <c r="D138" s="21"/>
      <c r="E138" s="21"/>
      <c r="F138" s="21"/>
      <c r="G138" s="21"/>
      <c r="H138" s="21"/>
      <c r="I138" s="21"/>
    </row>
    <row r="139" spans="1:9" hidden="1" x14ac:dyDescent="0.2">
      <c r="D139" s="21"/>
      <c r="E139" s="21"/>
      <c r="F139" s="21"/>
      <c r="G139" s="21"/>
      <c r="H139" s="21"/>
      <c r="I139" s="21"/>
    </row>
    <row r="140" spans="1:9" hidden="1" x14ac:dyDescent="0.2">
      <c r="D140" s="21"/>
      <c r="E140" s="21"/>
      <c r="F140" s="21"/>
      <c r="G140" s="21"/>
      <c r="H140" s="21"/>
      <c r="I140" s="21"/>
    </row>
    <row r="141" spans="1:9" hidden="1" x14ac:dyDescent="0.2">
      <c r="D141" s="21"/>
      <c r="E141" s="21"/>
      <c r="F141" s="21"/>
      <c r="G141" s="21"/>
      <c r="H141" s="21"/>
      <c r="I141" s="21"/>
    </row>
    <row r="142" spans="1:9" hidden="1" x14ac:dyDescent="0.2">
      <c r="D142" s="21"/>
      <c r="E142" s="21"/>
      <c r="F142" s="21"/>
      <c r="G142" s="21"/>
      <c r="H142" s="21"/>
      <c r="I142" s="21"/>
    </row>
    <row r="143" spans="1:9" hidden="1" x14ac:dyDescent="0.2">
      <c r="D143" s="21"/>
      <c r="E143" s="21"/>
      <c r="F143" s="21"/>
      <c r="G143" s="21"/>
      <c r="H143" s="21"/>
      <c r="I143" s="21"/>
    </row>
    <row r="144" spans="1:9" hidden="1" x14ac:dyDescent="0.2">
      <c r="D144" s="21"/>
      <c r="E144" s="21"/>
      <c r="F144" s="21"/>
      <c r="G144" s="21"/>
      <c r="H144" s="21"/>
      <c r="I144" s="21"/>
    </row>
    <row r="145" spans="1:9" hidden="1" x14ac:dyDescent="0.2">
      <c r="D145" s="21"/>
      <c r="E145" s="21"/>
      <c r="F145" s="21"/>
      <c r="G145" s="21"/>
      <c r="H145" s="21"/>
      <c r="I145" s="21"/>
    </row>
    <row r="146" spans="1:9" hidden="1" x14ac:dyDescent="0.2">
      <c r="D146" s="21"/>
      <c r="E146" s="21"/>
      <c r="F146" s="21"/>
      <c r="G146" s="21"/>
      <c r="H146" s="21"/>
      <c r="I146" s="21"/>
    </row>
    <row r="147" spans="1:9" hidden="1" x14ac:dyDescent="0.2">
      <c r="D147" s="21"/>
      <c r="E147" s="21"/>
      <c r="F147" s="21"/>
      <c r="G147" s="21"/>
      <c r="H147" s="21"/>
      <c r="I147" s="21"/>
    </row>
    <row r="148" spans="1:9" hidden="1" x14ac:dyDescent="0.2">
      <c r="D148" s="21"/>
      <c r="E148" s="21"/>
      <c r="F148" s="21"/>
      <c r="G148" s="21"/>
      <c r="H148" s="21"/>
      <c r="I148" s="21"/>
    </row>
    <row r="149" spans="1:9" hidden="1" x14ac:dyDescent="0.2">
      <c r="D149" s="21"/>
      <c r="E149" s="21"/>
      <c r="F149" s="21"/>
      <c r="G149" s="21"/>
      <c r="H149" s="21"/>
      <c r="I149" s="21"/>
    </row>
    <row r="150" spans="1:9" hidden="1" x14ac:dyDescent="0.2">
      <c r="D150" s="21"/>
      <c r="E150" s="21"/>
      <c r="F150" s="21"/>
      <c r="G150" s="21"/>
      <c r="H150" s="21"/>
      <c r="I150" s="21"/>
    </row>
    <row r="151" spans="1:9" x14ac:dyDescent="0.2">
      <c r="A151" s="2" t="s">
        <v>2052</v>
      </c>
      <c r="D151" s="21"/>
      <c r="E151" s="21"/>
      <c r="F151" s="21"/>
      <c r="G151" s="21"/>
      <c r="H151" s="21"/>
      <c r="I151" s="21"/>
    </row>
    <row r="152" spans="1:9" x14ac:dyDescent="0.2">
      <c r="D152" s="21"/>
      <c r="E152" s="21"/>
      <c r="F152" s="21"/>
      <c r="G152" s="21"/>
      <c r="H152" s="21"/>
      <c r="I152" s="21"/>
    </row>
    <row r="153" spans="1:9" x14ac:dyDescent="0.2">
      <c r="A153" s="2" t="s">
        <v>25</v>
      </c>
      <c r="D153" s="21"/>
      <c r="E153" s="21"/>
      <c r="F153" s="21"/>
      <c r="G153" s="21"/>
      <c r="H153" s="21"/>
      <c r="I153" s="21"/>
    </row>
    <row r="154" spans="1:9" x14ac:dyDescent="0.2">
      <c r="D154" s="21"/>
      <c r="E154" s="21"/>
      <c r="F154" s="21"/>
      <c r="G154" s="21"/>
      <c r="H154" s="21"/>
      <c r="I154" s="21"/>
    </row>
    <row r="155" spans="1:9" x14ac:dyDescent="0.2">
      <c r="A155" t="s">
        <v>2084</v>
      </c>
      <c r="D155" s="21">
        <v>2472</v>
      </c>
      <c r="E155" s="21">
        <v>2566</v>
      </c>
      <c r="F155" s="21">
        <v>2659</v>
      </c>
      <c r="G155" s="21">
        <v>2664</v>
      </c>
      <c r="H155" s="21">
        <v>2800</v>
      </c>
      <c r="I155" s="21">
        <v>2776</v>
      </c>
    </row>
    <row r="156" spans="1:9" x14ac:dyDescent="0.2">
      <c r="A156" t="s">
        <v>1432</v>
      </c>
      <c r="D156" s="21">
        <v>509</v>
      </c>
      <c r="E156" s="21">
        <v>1059</v>
      </c>
      <c r="F156" s="21">
        <v>1287</v>
      </c>
      <c r="G156" s="21">
        <v>1287</v>
      </c>
      <c r="H156" s="21">
        <v>1287</v>
      </c>
      <c r="I156" s="21">
        <v>1287</v>
      </c>
    </row>
    <row r="157" spans="1:9" x14ac:dyDescent="0.2">
      <c r="A157" t="s">
        <v>1431</v>
      </c>
      <c r="D157" s="21"/>
      <c r="E157" s="21"/>
      <c r="F157" s="21"/>
      <c r="G157" s="21"/>
      <c r="H157" s="21"/>
      <c r="I157" s="21"/>
    </row>
    <row r="158" spans="1:9" x14ac:dyDescent="0.2">
      <c r="A158" t="s">
        <v>2085</v>
      </c>
      <c r="D158" s="21"/>
      <c r="E158" s="21"/>
      <c r="F158" s="21"/>
      <c r="G158" s="21"/>
      <c r="H158" s="21"/>
      <c r="I158" s="21"/>
    </row>
    <row r="159" spans="1:9" x14ac:dyDescent="0.2">
      <c r="A159" t="s">
        <v>2086</v>
      </c>
      <c r="D159" s="21"/>
      <c r="E159" s="21"/>
      <c r="F159" s="21"/>
      <c r="G159" s="21"/>
      <c r="H159" s="21"/>
      <c r="I159" s="21"/>
    </row>
    <row r="160" spans="1:9" x14ac:dyDescent="0.2">
      <c r="D160" s="21"/>
      <c r="E160" s="21"/>
      <c r="F160" s="21"/>
      <c r="G160" s="21"/>
      <c r="H160" s="21"/>
      <c r="I160" s="21"/>
    </row>
    <row r="161" spans="1:9" x14ac:dyDescent="0.2">
      <c r="A161" s="2" t="s">
        <v>26</v>
      </c>
      <c r="D161" s="21"/>
      <c r="E161" s="21"/>
      <c r="F161" s="21"/>
      <c r="G161" s="21"/>
      <c r="H161" s="21"/>
      <c r="I161" s="21"/>
    </row>
    <row r="162" spans="1:9" x14ac:dyDescent="0.2">
      <c r="D162" s="21"/>
      <c r="E162" s="21"/>
      <c r="F162" s="21"/>
      <c r="G162" s="21"/>
      <c r="H162" s="21"/>
      <c r="I162" s="21"/>
    </row>
    <row r="163" spans="1:9" x14ac:dyDescent="0.2">
      <c r="A163" t="s">
        <v>2084</v>
      </c>
      <c r="D163" s="21">
        <v>2808</v>
      </c>
      <c r="E163" s="21">
        <v>2256</v>
      </c>
      <c r="F163" s="21">
        <v>2242</v>
      </c>
      <c r="G163" s="21">
        <v>2334</v>
      </c>
      <c r="H163" s="21">
        <v>2348</v>
      </c>
      <c r="I163" s="21">
        <v>2347</v>
      </c>
    </row>
    <row r="164" spans="1:9" x14ac:dyDescent="0.2">
      <c r="A164" t="s">
        <v>1432</v>
      </c>
      <c r="D164" s="21">
        <v>810</v>
      </c>
      <c r="E164" s="21">
        <v>894</v>
      </c>
      <c r="F164" s="21">
        <v>625</v>
      </c>
      <c r="G164" s="21">
        <v>584</v>
      </c>
      <c r="H164" s="21">
        <v>584</v>
      </c>
      <c r="I164" s="21">
        <v>583</v>
      </c>
    </row>
    <row r="165" spans="1:9" x14ac:dyDescent="0.2">
      <c r="A165" t="s">
        <v>1431</v>
      </c>
      <c r="D165" s="21"/>
      <c r="E165" s="21"/>
      <c r="F165" s="21"/>
      <c r="G165" s="21"/>
      <c r="H165" s="21"/>
      <c r="I165" s="21"/>
    </row>
    <row r="166" spans="1:9" x14ac:dyDescent="0.2">
      <c r="A166" t="s">
        <v>2085</v>
      </c>
      <c r="D166" s="21"/>
      <c r="E166" s="21"/>
      <c r="F166" s="21"/>
      <c r="G166" s="21"/>
      <c r="H166" s="21"/>
      <c r="I166" s="21"/>
    </row>
    <row r="167" spans="1:9" x14ac:dyDescent="0.2">
      <c r="A167" t="s">
        <v>2086</v>
      </c>
      <c r="D167" s="21"/>
      <c r="E167" s="21"/>
      <c r="F167" s="21"/>
      <c r="G167" s="21"/>
      <c r="H167" s="21"/>
      <c r="I167" s="21"/>
    </row>
    <row r="169" spans="1:9" hidden="1" x14ac:dyDescent="0.2"/>
    <row r="170" spans="1:9" hidden="1" x14ac:dyDescent="0.2"/>
    <row r="171" spans="1:9" hidden="1" x14ac:dyDescent="0.2"/>
    <row r="172" spans="1:9" hidden="1" x14ac:dyDescent="0.2"/>
    <row r="173" spans="1:9" hidden="1" x14ac:dyDescent="0.2"/>
    <row r="174" spans="1:9" hidden="1" x14ac:dyDescent="0.2"/>
    <row r="175" spans="1:9" hidden="1" x14ac:dyDescent="0.2"/>
    <row r="176" spans="1:9" hidden="1" x14ac:dyDescent="0.2"/>
    <row r="177" spans="1:9" hidden="1" x14ac:dyDescent="0.2"/>
    <row r="178" spans="1:9" hidden="1" x14ac:dyDescent="0.2"/>
    <row r="179" spans="1:9" x14ac:dyDescent="0.2">
      <c r="A179" s="2" t="s">
        <v>2087</v>
      </c>
    </row>
    <row r="180" spans="1:9" x14ac:dyDescent="0.2">
      <c r="F180" s="16" t="s">
        <v>2091</v>
      </c>
    </row>
    <row r="181" spans="1:9" x14ac:dyDescent="0.2">
      <c r="B181" s="1" t="s">
        <v>2088</v>
      </c>
      <c r="C181" s="16" t="s">
        <v>2089</v>
      </c>
      <c r="D181" s="17" t="s">
        <v>2090</v>
      </c>
      <c r="F181" s="16" t="s">
        <v>2092</v>
      </c>
      <c r="H181" s="17" t="s">
        <v>508</v>
      </c>
    </row>
    <row r="182" spans="1:9" x14ac:dyDescent="0.2">
      <c r="A182" t="s">
        <v>2101</v>
      </c>
      <c r="B182" s="24">
        <v>12749</v>
      </c>
      <c r="C182" s="21">
        <v>245760</v>
      </c>
      <c r="D182" s="25">
        <v>2159</v>
      </c>
      <c r="E182" s="16" t="s">
        <v>2101</v>
      </c>
      <c r="F182" s="2">
        <v>29698407</v>
      </c>
      <c r="G182" s="2"/>
      <c r="H182" s="2">
        <v>35952755</v>
      </c>
    </row>
    <row r="183" spans="1:9" x14ac:dyDescent="0.2">
      <c r="A183" t="s">
        <v>2102</v>
      </c>
      <c r="B183" s="24">
        <v>12749</v>
      </c>
      <c r="C183" s="21">
        <v>246675</v>
      </c>
      <c r="D183" s="25">
        <v>2160</v>
      </c>
      <c r="E183" s="16" t="s">
        <v>2102</v>
      </c>
      <c r="F183" s="2">
        <v>30126369</v>
      </c>
      <c r="G183" s="2"/>
      <c r="H183" s="2">
        <v>36194132</v>
      </c>
    </row>
    <row r="185" spans="1:9" x14ac:dyDescent="0.2">
      <c r="D185" t="s">
        <v>2093</v>
      </c>
      <c r="G185" s="20"/>
    </row>
    <row r="186" spans="1:9" x14ac:dyDescent="0.2">
      <c r="A186" s="19"/>
      <c r="B186" s="19"/>
      <c r="C186" s="19"/>
      <c r="D186" s="19"/>
      <c r="E186" s="19"/>
      <c r="F186" s="19"/>
      <c r="G186" s="19"/>
      <c r="H186" s="19"/>
      <c r="I186" s="19"/>
    </row>
    <row r="187" spans="1:9" hidden="1" x14ac:dyDescent="0.2"/>
    <row r="188" spans="1:9" hidden="1" x14ac:dyDescent="0.2"/>
    <row r="189" spans="1:9" hidden="1" x14ac:dyDescent="0.2"/>
    <row r="190" spans="1:9" hidden="1" x14ac:dyDescent="0.2"/>
    <row r="191" spans="1:9" hidden="1" x14ac:dyDescent="0.2"/>
    <row r="192" spans="1:9" hidden="1" x14ac:dyDescent="0.2"/>
    <row r="193" spans="1:1" hidden="1" x14ac:dyDescent="0.2"/>
    <row r="194" spans="1:1" hidden="1" x14ac:dyDescent="0.2"/>
    <row r="195" spans="1:1" hidden="1" x14ac:dyDescent="0.2"/>
    <row r="196" spans="1:1" hidden="1" x14ac:dyDescent="0.2"/>
    <row r="197" spans="1:1" hidden="1" x14ac:dyDescent="0.2"/>
    <row r="198" spans="1:1" hidden="1" x14ac:dyDescent="0.2"/>
    <row r="199" spans="1:1" hidden="1" x14ac:dyDescent="0.2"/>
    <row r="200" spans="1:1" hidden="1" x14ac:dyDescent="0.2"/>
    <row r="201" spans="1:1" hidden="1" x14ac:dyDescent="0.2"/>
    <row r="202" spans="1:1" hidden="1" x14ac:dyDescent="0.2"/>
    <row r="203" spans="1:1" hidden="1" x14ac:dyDescent="0.2"/>
    <row r="204" spans="1:1" hidden="1" x14ac:dyDescent="0.2"/>
    <row r="205" spans="1:1" hidden="1" x14ac:dyDescent="0.2"/>
    <row r="206" spans="1:1" hidden="1" x14ac:dyDescent="0.2"/>
    <row r="207" spans="1:1" x14ac:dyDescent="0.2">
      <c r="A207" s="2" t="s">
        <v>1449</v>
      </c>
    </row>
    <row r="209" spans="1:9" x14ac:dyDescent="0.2">
      <c r="A209" s="2" t="s">
        <v>25</v>
      </c>
      <c r="D209" s="21"/>
      <c r="E209" s="21"/>
      <c r="F209" s="21"/>
      <c r="G209" s="21"/>
      <c r="H209" s="21"/>
      <c r="I209" s="21"/>
    </row>
    <row r="210" spans="1:9" x14ac:dyDescent="0.2">
      <c r="D210" s="21"/>
      <c r="E210" s="21"/>
      <c r="F210" s="21"/>
      <c r="G210" s="21"/>
      <c r="H210" s="21"/>
      <c r="I210" s="21"/>
    </row>
    <row r="211" spans="1:9" x14ac:dyDescent="0.2">
      <c r="B211" t="s">
        <v>1451</v>
      </c>
      <c r="D211" s="22">
        <v>15</v>
      </c>
      <c r="E211" s="22">
        <v>20</v>
      </c>
      <c r="F211" s="22">
        <v>21</v>
      </c>
      <c r="G211" s="22">
        <v>21</v>
      </c>
      <c r="H211" s="22">
        <v>14</v>
      </c>
      <c r="I211" s="22">
        <v>13</v>
      </c>
    </row>
    <row r="212" spans="1:9" x14ac:dyDescent="0.2">
      <c r="B212" t="s">
        <v>1452</v>
      </c>
      <c r="D212" s="22">
        <v>4</v>
      </c>
      <c r="E212" s="22">
        <v>5</v>
      </c>
      <c r="F212" s="22">
        <v>5</v>
      </c>
      <c r="G212" s="22">
        <v>6</v>
      </c>
      <c r="H212" s="22">
        <v>6</v>
      </c>
      <c r="I212" s="22">
        <v>7</v>
      </c>
    </row>
    <row r="213" spans="1:9" x14ac:dyDescent="0.2">
      <c r="C213" t="s">
        <v>1908</v>
      </c>
      <c r="D213" s="21">
        <f t="shared" ref="D213:I213" si="0">SUM(D211:D212)</f>
        <v>19</v>
      </c>
      <c r="E213" s="21">
        <f t="shared" si="0"/>
        <v>25</v>
      </c>
      <c r="F213" s="21">
        <f t="shared" si="0"/>
        <v>26</v>
      </c>
      <c r="G213" s="21">
        <f t="shared" si="0"/>
        <v>27</v>
      </c>
      <c r="H213" s="21">
        <f t="shared" si="0"/>
        <v>20</v>
      </c>
      <c r="I213" s="21">
        <f t="shared" si="0"/>
        <v>20</v>
      </c>
    </row>
    <row r="214" spans="1:9" x14ac:dyDescent="0.2">
      <c r="D214" s="21"/>
      <c r="E214" s="21"/>
      <c r="F214" s="21"/>
      <c r="G214" s="21"/>
      <c r="H214" s="21"/>
      <c r="I214" s="21"/>
    </row>
    <row r="215" spans="1:9" x14ac:dyDescent="0.2">
      <c r="A215" s="2" t="s">
        <v>26</v>
      </c>
      <c r="D215" s="21"/>
      <c r="E215" s="21"/>
      <c r="F215" s="21"/>
      <c r="G215" s="21"/>
      <c r="H215" s="21"/>
      <c r="I215" s="21"/>
    </row>
    <row r="216" spans="1:9" x14ac:dyDescent="0.2">
      <c r="D216" s="21"/>
      <c r="E216" s="21"/>
      <c r="F216" s="21"/>
      <c r="G216" s="21"/>
      <c r="H216" s="21"/>
      <c r="I216" s="21"/>
    </row>
    <row r="217" spans="1:9" x14ac:dyDescent="0.2">
      <c r="B217" t="s">
        <v>1451</v>
      </c>
      <c r="D217" s="22">
        <v>14</v>
      </c>
      <c r="E217" s="22">
        <v>18</v>
      </c>
      <c r="F217" s="22">
        <v>18</v>
      </c>
      <c r="G217" s="22">
        <v>19</v>
      </c>
      <c r="H217" s="22">
        <v>19</v>
      </c>
      <c r="I217" s="22">
        <v>16</v>
      </c>
    </row>
    <row r="218" spans="1:9" x14ac:dyDescent="0.2">
      <c r="B218" t="s">
        <v>1452</v>
      </c>
      <c r="D218" s="22">
        <v>5</v>
      </c>
      <c r="E218" s="22">
        <v>5</v>
      </c>
      <c r="F218" s="22">
        <v>5</v>
      </c>
      <c r="G218" s="22">
        <v>5</v>
      </c>
      <c r="H218" s="22">
        <v>5</v>
      </c>
      <c r="I218" s="22">
        <v>5</v>
      </c>
    </row>
    <row r="219" spans="1:9" x14ac:dyDescent="0.2">
      <c r="C219" t="s">
        <v>1908</v>
      </c>
      <c r="D219" s="21">
        <f t="shared" ref="D219:I219" si="1">SUM(D217:D218)</f>
        <v>19</v>
      </c>
      <c r="E219" s="21">
        <f t="shared" si="1"/>
        <v>23</v>
      </c>
      <c r="F219" s="21">
        <f t="shared" si="1"/>
        <v>23</v>
      </c>
      <c r="G219" s="21">
        <f t="shared" si="1"/>
        <v>24</v>
      </c>
      <c r="H219" s="21">
        <f t="shared" si="1"/>
        <v>24</v>
      </c>
      <c r="I219" s="21">
        <f t="shared" si="1"/>
        <v>21</v>
      </c>
    </row>
    <row r="220" spans="1:9" x14ac:dyDescent="0.2">
      <c r="D220" s="21"/>
      <c r="E220" s="21"/>
      <c r="F220" s="21"/>
      <c r="G220" s="21"/>
      <c r="H220" s="21"/>
      <c r="I220" s="21"/>
    </row>
    <row r="221" spans="1:9" x14ac:dyDescent="0.2">
      <c r="C221" s="1" t="s">
        <v>1450</v>
      </c>
      <c r="D221" s="26"/>
      <c r="E221" s="21"/>
      <c r="F221" s="21"/>
      <c r="G221" s="21"/>
      <c r="H221" s="21"/>
      <c r="I221" s="21"/>
    </row>
    <row r="222" spans="1:9" x14ac:dyDescent="0.2">
      <c r="D222" s="21"/>
      <c r="E222" s="21"/>
      <c r="F222" s="21"/>
      <c r="G222" s="21"/>
      <c r="H222" s="21"/>
      <c r="I222" s="21"/>
    </row>
    <row r="223" spans="1:9" hidden="1" x14ac:dyDescent="0.2">
      <c r="D223" s="21"/>
      <c r="E223" s="21"/>
      <c r="F223" s="21"/>
      <c r="G223" s="21"/>
      <c r="H223" s="21"/>
      <c r="I223" s="21"/>
    </row>
    <row r="224" spans="1:9" hidden="1" x14ac:dyDescent="0.2">
      <c r="D224" s="21"/>
      <c r="E224" s="21"/>
      <c r="F224" s="21"/>
      <c r="G224" s="21"/>
      <c r="H224" s="21"/>
      <c r="I224" s="21"/>
    </row>
    <row r="225" spans="4:9" hidden="1" x14ac:dyDescent="0.2">
      <c r="D225" s="21"/>
      <c r="E225" s="21"/>
      <c r="F225" s="21"/>
      <c r="G225" s="21"/>
      <c r="H225" s="21"/>
      <c r="I225" s="21"/>
    </row>
    <row r="226" spans="4:9" hidden="1" x14ac:dyDescent="0.2">
      <c r="D226" s="21"/>
      <c r="E226" s="21"/>
      <c r="F226" s="21"/>
      <c r="G226" s="21"/>
      <c r="H226" s="21"/>
      <c r="I226" s="21"/>
    </row>
    <row r="227" spans="4:9" hidden="1" x14ac:dyDescent="0.2">
      <c r="D227" s="21"/>
      <c r="E227" s="21"/>
      <c r="F227" s="21"/>
      <c r="G227" s="21"/>
      <c r="H227" s="21"/>
      <c r="I227" s="21"/>
    </row>
    <row r="228" spans="4:9" hidden="1" x14ac:dyDescent="0.2">
      <c r="D228" s="21"/>
      <c r="E228" s="21"/>
      <c r="F228" s="21"/>
      <c r="G228" s="21"/>
      <c r="H228" s="21"/>
      <c r="I228" s="21"/>
    </row>
    <row r="229" spans="4:9" hidden="1" x14ac:dyDescent="0.2">
      <c r="D229" s="21"/>
      <c r="E229" s="21"/>
      <c r="F229" s="21"/>
      <c r="G229" s="21"/>
      <c r="H229" s="21"/>
      <c r="I229" s="21"/>
    </row>
    <row r="230" spans="4:9" hidden="1" x14ac:dyDescent="0.2">
      <c r="D230" s="21"/>
      <c r="E230" s="21"/>
      <c r="F230" s="21"/>
      <c r="G230" s="21"/>
      <c r="H230" s="21"/>
      <c r="I230" s="21"/>
    </row>
    <row r="231" spans="4:9" hidden="1" x14ac:dyDescent="0.2">
      <c r="D231" s="21"/>
      <c r="E231" s="21"/>
      <c r="F231" s="21"/>
      <c r="G231" s="21"/>
      <c r="H231" s="21"/>
      <c r="I231" s="21"/>
    </row>
    <row r="232" spans="4:9" hidden="1" x14ac:dyDescent="0.2">
      <c r="D232" s="21"/>
      <c r="E232" s="21"/>
      <c r="F232" s="21"/>
      <c r="G232" s="21"/>
      <c r="H232" s="21"/>
      <c r="I232" s="21"/>
    </row>
    <row r="233" spans="4:9" hidden="1" x14ac:dyDescent="0.2">
      <c r="D233" s="21"/>
      <c r="E233" s="21"/>
      <c r="F233" s="21"/>
      <c r="G233" s="21"/>
      <c r="H233" s="21"/>
      <c r="I233" s="21"/>
    </row>
    <row r="234" spans="4:9" hidden="1" x14ac:dyDescent="0.2">
      <c r="D234" s="21"/>
      <c r="E234" s="21"/>
      <c r="F234" s="21"/>
      <c r="G234" s="21"/>
      <c r="H234" s="21"/>
      <c r="I234" s="21"/>
    </row>
    <row r="235" spans="4:9" hidden="1" x14ac:dyDescent="0.2">
      <c r="D235" s="21"/>
      <c r="E235" s="21"/>
      <c r="F235" s="21"/>
      <c r="G235" s="21"/>
      <c r="H235" s="21"/>
      <c r="I235" s="21"/>
    </row>
    <row r="236" spans="4:9" hidden="1" x14ac:dyDescent="0.2">
      <c r="D236" s="21"/>
      <c r="E236" s="21"/>
      <c r="F236" s="21"/>
      <c r="G236" s="21"/>
      <c r="H236" s="21"/>
      <c r="I236" s="21"/>
    </row>
    <row r="237" spans="4:9" hidden="1" x14ac:dyDescent="0.2">
      <c r="D237" s="21"/>
      <c r="E237" s="21"/>
      <c r="F237" s="21"/>
      <c r="G237" s="21"/>
      <c r="H237" s="21"/>
      <c r="I237" s="21"/>
    </row>
    <row r="238" spans="4:9" hidden="1" x14ac:dyDescent="0.2">
      <c r="D238" s="21"/>
      <c r="E238" s="21"/>
      <c r="F238" s="21"/>
      <c r="G238" s="21"/>
      <c r="H238" s="21"/>
      <c r="I238" s="21"/>
    </row>
    <row r="239" spans="4:9" hidden="1" x14ac:dyDescent="0.2">
      <c r="D239" s="21"/>
      <c r="E239" s="21"/>
      <c r="F239" s="21"/>
      <c r="G239" s="21"/>
      <c r="H239" s="21"/>
      <c r="I239" s="21"/>
    </row>
    <row r="240" spans="4:9" hidden="1" x14ac:dyDescent="0.2">
      <c r="D240" s="21"/>
      <c r="E240" s="21"/>
      <c r="F240" s="21"/>
      <c r="G240" s="21"/>
      <c r="H240" s="21"/>
      <c r="I240" s="21"/>
    </row>
    <row r="241" spans="1:9" hidden="1" x14ac:dyDescent="0.2">
      <c r="D241" s="21"/>
      <c r="E241" s="21"/>
      <c r="F241" s="21"/>
      <c r="G241" s="21"/>
      <c r="H241" s="21"/>
      <c r="I241" s="21"/>
    </row>
    <row r="242" spans="1:9" hidden="1" x14ac:dyDescent="0.2">
      <c r="D242" s="21"/>
      <c r="E242" s="21"/>
      <c r="F242" s="21"/>
      <c r="G242" s="21"/>
      <c r="H242" s="21"/>
      <c r="I242" s="21"/>
    </row>
    <row r="243" spans="1:9" x14ac:dyDescent="0.2">
      <c r="A243" s="2" t="s">
        <v>1477</v>
      </c>
      <c r="D243" s="21"/>
      <c r="E243" s="21"/>
      <c r="F243" s="21"/>
      <c r="G243" s="21"/>
      <c r="H243" s="21"/>
      <c r="I243" s="21"/>
    </row>
    <row r="244" spans="1:9" x14ac:dyDescent="0.2">
      <c r="D244" s="21"/>
      <c r="E244" s="21"/>
      <c r="F244" s="21"/>
      <c r="G244" s="21"/>
      <c r="H244" s="21"/>
      <c r="I244" s="21"/>
    </row>
    <row r="245" spans="1:9" x14ac:dyDescent="0.2">
      <c r="A245" s="2" t="s">
        <v>1478</v>
      </c>
      <c r="D245" s="21"/>
      <c r="E245" s="21"/>
      <c r="F245" s="21"/>
      <c r="G245" s="21"/>
      <c r="H245" s="21"/>
      <c r="I245" s="21"/>
    </row>
    <row r="246" spans="1:9" x14ac:dyDescent="0.2">
      <c r="D246" s="21"/>
      <c r="E246" s="21"/>
      <c r="F246" s="21"/>
      <c r="G246" s="21"/>
      <c r="H246" s="21"/>
      <c r="I246" s="21"/>
    </row>
    <row r="247" spans="1:9" x14ac:dyDescent="0.2">
      <c r="A247" s="2" t="s">
        <v>25</v>
      </c>
      <c r="C247" t="s">
        <v>1486</v>
      </c>
      <c r="D247" s="21">
        <v>85</v>
      </c>
      <c r="E247" s="21">
        <v>85</v>
      </c>
      <c r="F247" s="21">
        <v>55</v>
      </c>
      <c r="G247" s="21">
        <v>50</v>
      </c>
      <c r="H247" s="21">
        <v>40</v>
      </c>
      <c r="I247" s="21">
        <v>70</v>
      </c>
    </row>
    <row r="248" spans="1:9" x14ac:dyDescent="0.2">
      <c r="A248" s="2"/>
      <c r="C248" s="18" t="s">
        <v>1485</v>
      </c>
      <c r="D248" s="22">
        <v>82</v>
      </c>
      <c r="E248" s="22">
        <v>70</v>
      </c>
      <c r="F248" s="22">
        <v>51</v>
      </c>
      <c r="G248" s="22">
        <v>45</v>
      </c>
      <c r="H248" s="22">
        <v>34</v>
      </c>
      <c r="I248" s="22">
        <v>67</v>
      </c>
    </row>
    <row r="249" spans="1:9" x14ac:dyDescent="0.2">
      <c r="C249" t="s">
        <v>1479</v>
      </c>
      <c r="D249" s="21">
        <v>23</v>
      </c>
      <c r="E249" s="21">
        <v>23</v>
      </c>
      <c r="F249" s="21">
        <v>27</v>
      </c>
      <c r="G249" s="21">
        <v>28</v>
      </c>
      <c r="H249" s="21">
        <v>30</v>
      </c>
      <c r="I249" s="21">
        <v>30</v>
      </c>
    </row>
    <row r="250" spans="1:9" x14ac:dyDescent="0.2">
      <c r="C250" t="s">
        <v>1480</v>
      </c>
      <c r="D250" s="21">
        <v>15</v>
      </c>
      <c r="E250" s="21">
        <v>15</v>
      </c>
      <c r="F250" s="21">
        <v>10</v>
      </c>
      <c r="G250" s="21">
        <v>5</v>
      </c>
      <c r="H250" s="21">
        <v>5</v>
      </c>
      <c r="I250" s="21">
        <v>5</v>
      </c>
    </row>
    <row r="251" spans="1:9" x14ac:dyDescent="0.2">
      <c r="C251" t="s">
        <v>1481</v>
      </c>
      <c r="D251" s="21"/>
      <c r="E251" s="21"/>
      <c r="F251" s="21"/>
      <c r="G251" s="21"/>
      <c r="H251" s="21"/>
      <c r="I251" s="21"/>
    </row>
    <row r="252" spans="1:9" x14ac:dyDescent="0.2">
      <c r="D252" s="21"/>
      <c r="E252" s="21"/>
      <c r="F252" s="21"/>
      <c r="G252" s="21"/>
      <c r="H252" s="21"/>
      <c r="I252" s="21"/>
    </row>
    <row r="253" spans="1:9" x14ac:dyDescent="0.2">
      <c r="A253" s="2" t="s">
        <v>26</v>
      </c>
      <c r="C253" t="s">
        <v>1486</v>
      </c>
      <c r="D253" s="21">
        <v>90</v>
      </c>
      <c r="E253" s="21">
        <v>50</v>
      </c>
      <c r="F253" s="21">
        <v>40</v>
      </c>
      <c r="G253" s="21">
        <v>35</v>
      </c>
      <c r="H253" s="21">
        <v>40</v>
      </c>
      <c r="I253" s="21">
        <v>40</v>
      </c>
    </row>
    <row r="254" spans="1:9" x14ac:dyDescent="0.2">
      <c r="C254" s="18" t="s">
        <v>1485</v>
      </c>
      <c r="D254" s="22">
        <v>93</v>
      </c>
      <c r="E254" s="22">
        <v>47</v>
      </c>
      <c r="F254" s="22">
        <v>39</v>
      </c>
      <c r="G254" s="22">
        <v>31</v>
      </c>
      <c r="H254" s="22">
        <v>34</v>
      </c>
      <c r="I254" s="22">
        <v>34</v>
      </c>
    </row>
    <row r="255" spans="1:9" x14ac:dyDescent="0.2">
      <c r="C255" t="s">
        <v>1479</v>
      </c>
      <c r="D255" s="21">
        <v>17</v>
      </c>
      <c r="E255" s="21">
        <v>23</v>
      </c>
      <c r="F255" s="21">
        <v>23</v>
      </c>
      <c r="G255" s="21">
        <v>25</v>
      </c>
      <c r="H255" s="21">
        <v>23</v>
      </c>
      <c r="I255" s="21">
        <v>23</v>
      </c>
    </row>
    <row r="256" spans="1:9" x14ac:dyDescent="0.2">
      <c r="C256" t="s">
        <v>1480</v>
      </c>
      <c r="D256" s="21">
        <v>10</v>
      </c>
      <c r="E256" s="21">
        <v>8</v>
      </c>
      <c r="F256" s="21">
        <v>8</v>
      </c>
      <c r="G256" s="21">
        <v>8</v>
      </c>
      <c r="H256" s="21">
        <v>5</v>
      </c>
      <c r="I256" s="21">
        <v>5</v>
      </c>
    </row>
    <row r="257" spans="1:9" x14ac:dyDescent="0.2">
      <c r="C257" t="s">
        <v>1481</v>
      </c>
      <c r="D257" s="21">
        <v>5</v>
      </c>
      <c r="E257" s="21">
        <v>5</v>
      </c>
      <c r="F257" s="21">
        <v>5</v>
      </c>
      <c r="G257" s="21">
        <v>2</v>
      </c>
      <c r="H257" s="21"/>
      <c r="I257" s="21"/>
    </row>
    <row r="258" spans="1:9" x14ac:dyDescent="0.2">
      <c r="A258" s="19"/>
      <c r="B258" s="19"/>
      <c r="C258" s="19"/>
      <c r="D258" s="23"/>
      <c r="E258" s="23"/>
      <c r="F258" s="23"/>
      <c r="G258" s="23"/>
      <c r="H258" s="23"/>
      <c r="I258" s="23"/>
    </row>
    <row r="259" spans="1:9" hidden="1" x14ac:dyDescent="0.2">
      <c r="D259" s="21"/>
      <c r="E259" s="21"/>
      <c r="F259" s="21"/>
      <c r="G259" s="21"/>
      <c r="H259" s="21"/>
      <c r="I259" s="21"/>
    </row>
    <row r="260" spans="1:9" hidden="1" x14ac:dyDescent="0.2">
      <c r="D260" s="21"/>
      <c r="E260" s="21"/>
      <c r="F260" s="21"/>
      <c r="G260" s="21"/>
      <c r="H260" s="21"/>
      <c r="I260" s="21"/>
    </row>
    <row r="261" spans="1:9" hidden="1" x14ac:dyDescent="0.2">
      <c r="D261" s="21"/>
      <c r="E261" s="21"/>
      <c r="F261" s="21"/>
      <c r="G261" s="21"/>
      <c r="H261" s="21"/>
      <c r="I261" s="21"/>
    </row>
    <row r="262" spans="1:9" hidden="1" x14ac:dyDescent="0.2">
      <c r="D262" s="21"/>
      <c r="E262" s="21"/>
      <c r="F262" s="21"/>
      <c r="G262" s="21"/>
      <c r="H262" s="21"/>
      <c r="I262" s="21"/>
    </row>
    <row r="263" spans="1:9" hidden="1" x14ac:dyDescent="0.2">
      <c r="D263" s="21"/>
      <c r="E263" s="21"/>
      <c r="F263" s="21"/>
      <c r="G263" s="21"/>
      <c r="H263" s="21"/>
      <c r="I263" s="21"/>
    </row>
    <row r="264" spans="1:9" hidden="1" x14ac:dyDescent="0.2">
      <c r="D264" s="21"/>
      <c r="E264" s="21"/>
      <c r="F264" s="21"/>
      <c r="G264" s="21"/>
      <c r="H264" s="21"/>
      <c r="I264" s="21"/>
    </row>
    <row r="265" spans="1:9" hidden="1" x14ac:dyDescent="0.2">
      <c r="D265" s="21"/>
      <c r="E265" s="21"/>
      <c r="F265" s="21"/>
      <c r="G265" s="21"/>
      <c r="H265" s="21"/>
      <c r="I265" s="21"/>
    </row>
    <row r="266" spans="1:9" hidden="1" x14ac:dyDescent="0.2">
      <c r="D266" s="21"/>
      <c r="E266" s="21"/>
      <c r="F266" s="21"/>
      <c r="G266" s="21"/>
      <c r="H266" s="21"/>
      <c r="I266" s="21"/>
    </row>
    <row r="267" spans="1:9" hidden="1" x14ac:dyDescent="0.2">
      <c r="D267" s="21"/>
      <c r="E267" s="21"/>
      <c r="F267" s="21"/>
      <c r="G267" s="21"/>
      <c r="H267" s="21"/>
      <c r="I267" s="21"/>
    </row>
    <row r="268" spans="1:9" hidden="1" x14ac:dyDescent="0.2">
      <c r="D268" s="21"/>
      <c r="E268" s="21"/>
      <c r="F268" s="21"/>
      <c r="G268" s="21"/>
      <c r="H268" s="21"/>
      <c r="I268" s="21"/>
    </row>
    <row r="269" spans="1:9" hidden="1" x14ac:dyDescent="0.2">
      <c r="D269" s="21"/>
      <c r="E269" s="21"/>
      <c r="F269" s="21"/>
      <c r="G269" s="21"/>
      <c r="H269" s="21"/>
      <c r="I269" s="21"/>
    </row>
    <row r="270" spans="1:9" hidden="1" x14ac:dyDescent="0.2">
      <c r="D270" s="21"/>
      <c r="E270" s="21"/>
      <c r="F270" s="21"/>
      <c r="G270" s="21"/>
      <c r="H270" s="21"/>
      <c r="I270" s="21"/>
    </row>
    <row r="271" spans="1:9" hidden="1" x14ac:dyDescent="0.2">
      <c r="D271" s="21"/>
      <c r="E271" s="21"/>
      <c r="F271" s="21"/>
      <c r="G271" s="21"/>
      <c r="H271" s="21"/>
      <c r="I271" s="21"/>
    </row>
    <row r="272" spans="1:9" hidden="1" x14ac:dyDescent="0.2">
      <c r="D272" s="21"/>
      <c r="E272" s="21"/>
      <c r="F272" s="21"/>
      <c r="G272" s="21"/>
      <c r="H272" s="21"/>
      <c r="I272" s="21"/>
    </row>
    <row r="273" spans="1:9" x14ac:dyDescent="0.2">
      <c r="A273" s="2" t="s">
        <v>1544</v>
      </c>
      <c r="D273" s="21"/>
      <c r="E273" s="21"/>
      <c r="F273" s="21"/>
      <c r="G273" s="21"/>
      <c r="H273" s="21"/>
      <c r="I273" s="21"/>
    </row>
    <row r="274" spans="1:9" x14ac:dyDescent="0.2">
      <c r="D274" s="21"/>
      <c r="E274" s="21"/>
      <c r="F274" s="21"/>
      <c r="G274" s="21"/>
      <c r="H274" s="21"/>
      <c r="I274" s="21"/>
    </row>
    <row r="275" spans="1:9" x14ac:dyDescent="0.2">
      <c r="A275" s="2" t="s">
        <v>25</v>
      </c>
      <c r="C275" t="s">
        <v>1486</v>
      </c>
      <c r="D275" s="21"/>
      <c r="E275" s="21">
        <v>115</v>
      </c>
      <c r="F275" s="21"/>
      <c r="G275" s="21">
        <v>100</v>
      </c>
      <c r="H275" s="21"/>
      <c r="I275" s="21">
        <v>110</v>
      </c>
    </row>
    <row r="276" spans="1:9" x14ac:dyDescent="0.2">
      <c r="C276" t="s">
        <v>1479</v>
      </c>
      <c r="D276" s="21"/>
      <c r="E276" s="21"/>
      <c r="F276" s="21"/>
      <c r="G276" s="21">
        <v>30</v>
      </c>
      <c r="H276" s="21"/>
      <c r="I276" s="21">
        <v>37</v>
      </c>
    </row>
    <row r="277" spans="1:9" x14ac:dyDescent="0.2">
      <c r="C277" t="s">
        <v>1480</v>
      </c>
      <c r="D277" s="21">
        <v>30</v>
      </c>
      <c r="E277" s="21">
        <v>35</v>
      </c>
      <c r="F277" s="21">
        <v>35</v>
      </c>
      <c r="G277" s="21">
        <v>30</v>
      </c>
      <c r="H277" s="21">
        <v>15</v>
      </c>
      <c r="I277" s="21">
        <v>5</v>
      </c>
    </row>
    <row r="278" spans="1:9" x14ac:dyDescent="0.2">
      <c r="C278" t="s">
        <v>1481</v>
      </c>
      <c r="D278" s="21"/>
      <c r="E278" s="21"/>
      <c r="F278" s="21"/>
      <c r="G278" s="21"/>
      <c r="H278" s="21"/>
      <c r="I278" s="21"/>
    </row>
    <row r="279" spans="1:9" x14ac:dyDescent="0.2">
      <c r="D279" s="21"/>
      <c r="E279" s="21"/>
      <c r="F279" s="21"/>
      <c r="G279" s="21"/>
      <c r="H279" s="21"/>
      <c r="I279" s="21"/>
    </row>
    <row r="280" spans="1:9" x14ac:dyDescent="0.2">
      <c r="A280" s="2" t="s">
        <v>26</v>
      </c>
      <c r="C280" t="s">
        <v>1486</v>
      </c>
      <c r="D280" s="21"/>
      <c r="E280" s="21"/>
      <c r="F280" s="21"/>
      <c r="G280" s="21">
        <v>75</v>
      </c>
      <c r="H280" s="21"/>
      <c r="I280" s="21">
        <v>25</v>
      </c>
    </row>
    <row r="281" spans="1:9" x14ac:dyDescent="0.2">
      <c r="C281" t="s">
        <v>1479</v>
      </c>
      <c r="D281" s="21"/>
      <c r="E281" s="21"/>
      <c r="F281" s="21"/>
      <c r="G281" s="21">
        <v>37</v>
      </c>
      <c r="H281" s="21"/>
      <c r="I281" s="21">
        <v>35</v>
      </c>
    </row>
    <row r="282" spans="1:9" x14ac:dyDescent="0.2">
      <c r="C282" t="s">
        <v>1480</v>
      </c>
      <c r="D282" s="21">
        <v>10</v>
      </c>
      <c r="E282" s="21">
        <v>15</v>
      </c>
      <c r="F282" s="21">
        <v>12</v>
      </c>
      <c r="G282" s="21">
        <v>12</v>
      </c>
      <c r="H282" s="21">
        <v>10</v>
      </c>
      <c r="I282" s="21">
        <v>12</v>
      </c>
    </row>
    <row r="283" spans="1:9" x14ac:dyDescent="0.2">
      <c r="C283" t="s">
        <v>1481</v>
      </c>
      <c r="D283" s="21"/>
      <c r="E283" s="21"/>
      <c r="F283" s="21"/>
      <c r="G283" s="21"/>
      <c r="H283" s="21"/>
      <c r="I283" s="21"/>
    </row>
    <row r="284" spans="1:9" x14ac:dyDescent="0.2">
      <c r="A284" s="19"/>
      <c r="B284" s="19"/>
      <c r="C284" s="19"/>
      <c r="D284" s="23"/>
      <c r="E284" s="23"/>
      <c r="F284" s="23"/>
      <c r="G284" s="23"/>
      <c r="H284" s="23"/>
      <c r="I284" s="23"/>
    </row>
    <row r="285" spans="1:9" hidden="1" x14ac:dyDescent="0.2">
      <c r="D285" s="21"/>
      <c r="E285" s="21"/>
      <c r="F285" s="21"/>
      <c r="G285" s="21"/>
      <c r="H285" s="21"/>
      <c r="I285" s="21"/>
    </row>
    <row r="286" spans="1:9" hidden="1" x14ac:dyDescent="0.2">
      <c r="D286" s="21"/>
      <c r="E286" s="21"/>
      <c r="F286" s="21"/>
      <c r="G286" s="21"/>
      <c r="H286" s="21"/>
      <c r="I286" s="21"/>
    </row>
    <row r="287" spans="1:9" hidden="1" x14ac:dyDescent="0.2">
      <c r="D287" s="21"/>
      <c r="E287" s="21"/>
      <c r="F287" s="21"/>
      <c r="G287" s="21"/>
      <c r="H287" s="21"/>
      <c r="I287" s="21"/>
    </row>
    <row r="288" spans="1:9" hidden="1" x14ac:dyDescent="0.2">
      <c r="D288" s="21"/>
      <c r="E288" s="21"/>
      <c r="F288" s="21"/>
      <c r="G288" s="21"/>
      <c r="H288" s="21"/>
      <c r="I288" s="21"/>
    </row>
    <row r="289" spans="1:9" hidden="1" x14ac:dyDescent="0.2">
      <c r="D289" s="21"/>
      <c r="E289" s="21"/>
      <c r="F289" s="21"/>
      <c r="G289" s="21"/>
      <c r="H289" s="21"/>
      <c r="I289" s="21"/>
    </row>
    <row r="290" spans="1:9" hidden="1" x14ac:dyDescent="0.2">
      <c r="D290" s="21"/>
      <c r="E290" s="21"/>
      <c r="F290" s="21"/>
      <c r="G290" s="21"/>
      <c r="H290" s="21"/>
      <c r="I290" s="21"/>
    </row>
    <row r="291" spans="1:9" hidden="1" x14ac:dyDescent="0.2">
      <c r="D291" s="21"/>
      <c r="E291" s="21"/>
      <c r="F291" s="21"/>
      <c r="G291" s="21"/>
      <c r="H291" s="21"/>
      <c r="I291" s="21"/>
    </row>
    <row r="292" spans="1:9" hidden="1" x14ac:dyDescent="0.2">
      <c r="D292" s="21"/>
      <c r="E292" s="21"/>
      <c r="F292" s="21"/>
      <c r="G292" s="21"/>
      <c r="H292" s="21"/>
      <c r="I292" s="21"/>
    </row>
    <row r="293" spans="1:9" hidden="1" x14ac:dyDescent="0.2">
      <c r="D293" s="21"/>
      <c r="E293" s="21"/>
      <c r="F293" s="21"/>
      <c r="G293" s="21"/>
      <c r="H293" s="21"/>
      <c r="I293" s="21"/>
    </row>
    <row r="294" spans="1:9" hidden="1" x14ac:dyDescent="0.2">
      <c r="D294" s="21"/>
      <c r="E294" s="21"/>
      <c r="F294" s="21"/>
      <c r="G294" s="21"/>
      <c r="H294" s="21"/>
      <c r="I294" s="21"/>
    </row>
    <row r="295" spans="1:9" hidden="1" x14ac:dyDescent="0.2">
      <c r="D295" s="21"/>
      <c r="E295" s="21"/>
      <c r="F295" s="21"/>
      <c r="G295" s="21"/>
      <c r="H295" s="21"/>
      <c r="I295" s="21"/>
    </row>
    <row r="296" spans="1:9" hidden="1" x14ac:dyDescent="0.2">
      <c r="D296" s="21"/>
      <c r="E296" s="21"/>
      <c r="F296" s="21"/>
      <c r="G296" s="21"/>
      <c r="H296" s="21"/>
      <c r="I296" s="21"/>
    </row>
    <row r="297" spans="1:9" hidden="1" x14ac:dyDescent="0.2">
      <c r="D297" s="21"/>
      <c r="E297" s="21"/>
      <c r="F297" s="21"/>
      <c r="G297" s="21"/>
      <c r="H297" s="21"/>
      <c r="I297" s="21"/>
    </row>
    <row r="298" spans="1:9" hidden="1" x14ac:dyDescent="0.2">
      <c r="D298" s="21"/>
      <c r="E298" s="21"/>
      <c r="F298" s="21"/>
      <c r="G298" s="21"/>
      <c r="H298" s="21"/>
      <c r="I298" s="21"/>
    </row>
    <row r="299" spans="1:9" x14ac:dyDescent="0.2">
      <c r="A299" s="2" t="s">
        <v>1547</v>
      </c>
      <c r="D299" s="21"/>
      <c r="E299" s="21"/>
      <c r="F299" s="21"/>
      <c r="G299" s="21"/>
      <c r="H299" s="21"/>
      <c r="I299" s="21"/>
    </row>
    <row r="300" spans="1:9" x14ac:dyDescent="0.2">
      <c r="D300" s="21"/>
      <c r="E300" s="21"/>
      <c r="F300" s="21"/>
      <c r="G300" s="21"/>
      <c r="H300" s="21"/>
      <c r="I300" s="21"/>
    </row>
    <row r="301" spans="1:9" x14ac:dyDescent="0.2">
      <c r="A301" s="2" t="s">
        <v>25</v>
      </c>
      <c r="C301" t="s">
        <v>1486</v>
      </c>
      <c r="D301" s="21"/>
      <c r="E301" s="21">
        <v>5</v>
      </c>
      <c r="F301" s="21"/>
      <c r="G301" s="21">
        <v>40</v>
      </c>
      <c r="H301" s="21"/>
      <c r="I301" s="21">
        <v>70</v>
      </c>
    </row>
    <row r="302" spans="1:9" x14ac:dyDescent="0.2">
      <c r="C302" t="s">
        <v>1479</v>
      </c>
      <c r="D302" s="21"/>
      <c r="E302" s="21">
        <v>10</v>
      </c>
      <c r="F302" s="21"/>
      <c r="G302" s="21">
        <v>12</v>
      </c>
      <c r="H302" s="21"/>
      <c r="I302" s="21">
        <v>10</v>
      </c>
    </row>
    <row r="303" spans="1:9" x14ac:dyDescent="0.2">
      <c r="C303" t="s">
        <v>1480</v>
      </c>
      <c r="D303" s="21">
        <v>5</v>
      </c>
      <c r="E303" s="21">
        <v>15</v>
      </c>
      <c r="F303" s="21">
        <v>15</v>
      </c>
      <c r="G303" s="21">
        <v>10</v>
      </c>
      <c r="H303" s="21">
        <v>5</v>
      </c>
      <c r="I303" s="21">
        <v>15</v>
      </c>
    </row>
    <row r="304" spans="1:9" x14ac:dyDescent="0.2">
      <c r="C304" t="s">
        <v>1481</v>
      </c>
      <c r="D304" s="21"/>
      <c r="E304" s="21"/>
      <c r="F304" s="21"/>
      <c r="G304" s="21"/>
      <c r="H304" s="21"/>
      <c r="I304" s="21"/>
    </row>
    <row r="305" spans="1:9" x14ac:dyDescent="0.2">
      <c r="D305" s="21"/>
      <c r="E305" s="21"/>
      <c r="F305" s="21"/>
      <c r="G305" s="21"/>
      <c r="H305" s="21"/>
      <c r="I305" s="21"/>
    </row>
    <row r="306" spans="1:9" x14ac:dyDescent="0.2">
      <c r="A306" s="2" t="s">
        <v>26</v>
      </c>
      <c r="C306" t="s">
        <v>1486</v>
      </c>
      <c r="D306" s="21"/>
      <c r="E306" s="21"/>
      <c r="F306" s="21"/>
      <c r="G306" s="21">
        <v>50</v>
      </c>
      <c r="H306" s="21"/>
      <c r="I306" s="21">
        <v>90</v>
      </c>
    </row>
    <row r="307" spans="1:9" x14ac:dyDescent="0.2">
      <c r="C307" t="s">
        <v>1479</v>
      </c>
      <c r="D307" s="21"/>
      <c r="E307" s="21"/>
      <c r="F307" s="21"/>
      <c r="G307" s="21">
        <v>19</v>
      </c>
      <c r="H307" s="21"/>
      <c r="I307" s="21">
        <v>19</v>
      </c>
    </row>
    <row r="308" spans="1:9" x14ac:dyDescent="0.2">
      <c r="C308" t="s">
        <v>1480</v>
      </c>
      <c r="D308" s="21">
        <v>17</v>
      </c>
      <c r="E308" s="21">
        <v>20</v>
      </c>
      <c r="F308" s="21">
        <v>20</v>
      </c>
      <c r="G308" s="21">
        <v>18</v>
      </c>
      <c r="H308" s="21">
        <v>18</v>
      </c>
      <c r="I308" s="21">
        <v>18</v>
      </c>
    </row>
    <row r="309" spans="1:9" x14ac:dyDescent="0.2">
      <c r="C309" t="s">
        <v>1481</v>
      </c>
      <c r="D309" s="21"/>
      <c r="E309" s="21"/>
      <c r="F309" s="21"/>
      <c r="G309" s="21"/>
      <c r="H309" s="21"/>
      <c r="I309" s="21"/>
    </row>
    <row r="310" spans="1:9" x14ac:dyDescent="0.2">
      <c r="A310" s="19"/>
      <c r="B310" s="19"/>
      <c r="C310" s="19"/>
      <c r="D310" s="23"/>
      <c r="E310" s="23"/>
      <c r="F310" s="23"/>
      <c r="G310" s="23"/>
      <c r="H310" s="23"/>
      <c r="I310" s="23"/>
    </row>
    <row r="311" spans="1:9" hidden="1" x14ac:dyDescent="0.2">
      <c r="D311" s="21"/>
      <c r="E311" s="21"/>
      <c r="F311" s="21"/>
      <c r="G311" s="21"/>
      <c r="H311" s="21"/>
      <c r="I311" s="21"/>
    </row>
    <row r="312" spans="1:9" hidden="1" x14ac:dyDescent="0.2">
      <c r="D312" s="21"/>
      <c r="E312" s="21"/>
      <c r="F312" s="21"/>
      <c r="G312" s="21"/>
      <c r="H312" s="21"/>
      <c r="I312" s="21"/>
    </row>
    <row r="313" spans="1:9" hidden="1" x14ac:dyDescent="0.2">
      <c r="D313" s="21"/>
      <c r="E313" s="21"/>
      <c r="F313" s="21"/>
      <c r="G313" s="21"/>
      <c r="H313" s="21"/>
      <c r="I313" s="21"/>
    </row>
    <row r="314" spans="1:9" hidden="1" x14ac:dyDescent="0.2">
      <c r="D314" s="21"/>
      <c r="E314" s="21"/>
      <c r="F314" s="21"/>
      <c r="G314" s="21"/>
      <c r="H314" s="21"/>
      <c r="I314" s="21"/>
    </row>
    <row r="315" spans="1:9" hidden="1" x14ac:dyDescent="0.2">
      <c r="D315" s="21"/>
      <c r="E315" s="21"/>
      <c r="F315" s="21"/>
      <c r="G315" s="21"/>
      <c r="H315" s="21"/>
      <c r="I315" s="21"/>
    </row>
    <row r="316" spans="1:9" hidden="1" x14ac:dyDescent="0.2">
      <c r="D316" s="21"/>
      <c r="E316" s="21"/>
      <c r="F316" s="21"/>
      <c r="G316" s="21"/>
      <c r="H316" s="21"/>
      <c r="I316" s="21"/>
    </row>
    <row r="317" spans="1:9" hidden="1" x14ac:dyDescent="0.2">
      <c r="D317" s="21"/>
      <c r="E317" s="21"/>
      <c r="F317" s="21"/>
      <c r="G317" s="21"/>
      <c r="H317" s="21"/>
      <c r="I317" s="21"/>
    </row>
    <row r="318" spans="1:9" hidden="1" x14ac:dyDescent="0.2">
      <c r="D318" s="21"/>
      <c r="E318" s="21"/>
      <c r="F318" s="21"/>
      <c r="G318" s="21"/>
      <c r="H318" s="21"/>
      <c r="I318" s="21"/>
    </row>
    <row r="319" spans="1:9" hidden="1" x14ac:dyDescent="0.2">
      <c r="D319" s="21"/>
      <c r="E319" s="21"/>
      <c r="F319" s="21"/>
      <c r="G319" s="21"/>
      <c r="H319" s="21"/>
      <c r="I319" s="21"/>
    </row>
    <row r="320" spans="1:9" hidden="1" x14ac:dyDescent="0.2">
      <c r="D320" s="21"/>
      <c r="E320" s="21"/>
      <c r="F320" s="21"/>
      <c r="G320" s="21"/>
      <c r="H320" s="21"/>
      <c r="I320" s="21"/>
    </row>
    <row r="321" spans="1:9" hidden="1" x14ac:dyDescent="0.2">
      <c r="D321" s="21"/>
      <c r="E321" s="21"/>
      <c r="F321" s="21"/>
      <c r="G321" s="21"/>
      <c r="H321" s="21"/>
      <c r="I321" s="21"/>
    </row>
    <row r="322" spans="1:9" hidden="1" x14ac:dyDescent="0.2">
      <c r="D322" s="21"/>
      <c r="E322" s="21"/>
      <c r="F322" s="21"/>
      <c r="G322" s="21"/>
      <c r="H322" s="21"/>
      <c r="I322" s="21"/>
    </row>
    <row r="323" spans="1:9" hidden="1" x14ac:dyDescent="0.2">
      <c r="D323" s="21"/>
      <c r="E323" s="21"/>
      <c r="F323" s="21"/>
      <c r="G323" s="21"/>
      <c r="H323" s="21"/>
      <c r="I323" s="21"/>
    </row>
    <row r="324" spans="1:9" hidden="1" x14ac:dyDescent="0.2">
      <c r="D324" s="21"/>
      <c r="E324" s="21"/>
      <c r="F324" s="21"/>
      <c r="G324" s="21"/>
      <c r="H324" s="21"/>
      <c r="I324" s="21"/>
    </row>
    <row r="325" spans="1:9" x14ac:dyDescent="0.2">
      <c r="A325" s="2" t="s">
        <v>1546</v>
      </c>
      <c r="D325" s="21"/>
      <c r="E325" s="21"/>
      <c r="F325" s="21"/>
      <c r="G325" s="21"/>
      <c r="H325" s="21"/>
      <c r="I325" s="21"/>
    </row>
    <row r="326" spans="1:9" x14ac:dyDescent="0.2">
      <c r="D326" s="21"/>
      <c r="E326" s="21"/>
      <c r="F326" s="21"/>
      <c r="G326" s="21"/>
      <c r="H326" s="21"/>
      <c r="I326" s="21"/>
    </row>
    <row r="327" spans="1:9" x14ac:dyDescent="0.2">
      <c r="A327" s="2" t="s">
        <v>25</v>
      </c>
      <c r="C327" t="s">
        <v>1486</v>
      </c>
      <c r="D327" s="21"/>
      <c r="E327" s="21">
        <v>60</v>
      </c>
      <c r="F327" s="21"/>
      <c r="G327" s="21">
        <v>65</v>
      </c>
      <c r="H327" s="21"/>
      <c r="I327" s="21">
        <v>80</v>
      </c>
    </row>
    <row r="328" spans="1:9" x14ac:dyDescent="0.2">
      <c r="C328" t="s">
        <v>1479</v>
      </c>
      <c r="D328" s="21"/>
      <c r="E328" s="21">
        <v>15</v>
      </c>
      <c r="F328" s="21"/>
      <c r="G328" s="21">
        <v>24</v>
      </c>
      <c r="H328" s="21"/>
      <c r="I328" s="21">
        <v>17</v>
      </c>
    </row>
    <row r="329" spans="1:9" x14ac:dyDescent="0.2">
      <c r="C329" t="s">
        <v>1480</v>
      </c>
      <c r="D329" s="21">
        <v>10</v>
      </c>
      <c r="E329" s="21">
        <v>10</v>
      </c>
      <c r="F329" s="21">
        <v>12</v>
      </c>
      <c r="G329" s="21">
        <v>15</v>
      </c>
      <c r="H329" s="21">
        <v>20</v>
      </c>
      <c r="I329" s="21">
        <v>10</v>
      </c>
    </row>
    <row r="330" spans="1:9" x14ac:dyDescent="0.2">
      <c r="C330" t="s">
        <v>1481</v>
      </c>
      <c r="D330" s="21"/>
      <c r="E330" s="21"/>
      <c r="F330" s="21"/>
      <c r="G330" s="21"/>
      <c r="H330" s="21"/>
      <c r="I330" s="21"/>
    </row>
    <row r="331" spans="1:9" x14ac:dyDescent="0.2">
      <c r="D331" s="21"/>
      <c r="E331" s="21"/>
      <c r="F331" s="21"/>
      <c r="G331" s="21"/>
      <c r="H331" s="21"/>
      <c r="I331" s="21"/>
    </row>
    <row r="332" spans="1:9" x14ac:dyDescent="0.2">
      <c r="A332" s="2" t="s">
        <v>26</v>
      </c>
      <c r="C332" t="s">
        <v>1486</v>
      </c>
      <c r="D332" s="21"/>
      <c r="E332" s="21"/>
      <c r="F332" s="21"/>
      <c r="G332" s="21">
        <v>85</v>
      </c>
      <c r="H332" s="21"/>
      <c r="I332" s="21">
        <v>85</v>
      </c>
    </row>
    <row r="333" spans="1:9" x14ac:dyDescent="0.2">
      <c r="C333" t="s">
        <v>1479</v>
      </c>
      <c r="D333" s="21"/>
      <c r="E333" s="21"/>
      <c r="F333" s="21"/>
      <c r="G333" s="21">
        <v>17</v>
      </c>
      <c r="H333" s="21"/>
      <c r="I333" s="21">
        <v>17</v>
      </c>
    </row>
    <row r="334" spans="1:9" x14ac:dyDescent="0.2">
      <c r="C334" t="s">
        <v>1480</v>
      </c>
      <c r="D334" s="21">
        <v>10</v>
      </c>
      <c r="E334" s="21">
        <v>20</v>
      </c>
      <c r="F334" s="21">
        <v>20</v>
      </c>
      <c r="G334" s="21">
        <v>23</v>
      </c>
      <c r="H334" s="21">
        <v>29</v>
      </c>
      <c r="I334" s="21">
        <v>15</v>
      </c>
    </row>
    <row r="335" spans="1:9" x14ac:dyDescent="0.2">
      <c r="C335" t="s">
        <v>1481</v>
      </c>
      <c r="D335" s="21"/>
      <c r="E335" s="21"/>
      <c r="F335" s="21"/>
      <c r="G335" s="21"/>
      <c r="H335" s="21"/>
      <c r="I335" s="21"/>
    </row>
    <row r="336" spans="1:9" x14ac:dyDescent="0.2">
      <c r="D336" s="21"/>
      <c r="E336" s="21"/>
      <c r="F336" s="21"/>
      <c r="G336" s="21"/>
      <c r="H336" s="21"/>
      <c r="I336" s="21"/>
    </row>
    <row r="337" spans="1:9" hidden="1" x14ac:dyDescent="0.2">
      <c r="D337" s="21"/>
      <c r="E337" s="21"/>
      <c r="F337" s="21"/>
      <c r="G337" s="21"/>
      <c r="H337" s="21"/>
      <c r="I337" s="21"/>
    </row>
    <row r="338" spans="1:9" hidden="1" x14ac:dyDescent="0.2">
      <c r="D338" s="21"/>
      <c r="E338" s="21"/>
      <c r="F338" s="21"/>
      <c r="G338" s="21"/>
      <c r="H338" s="21"/>
      <c r="I338" s="21"/>
    </row>
    <row r="339" spans="1:9" hidden="1" x14ac:dyDescent="0.2">
      <c r="D339" s="21"/>
      <c r="E339" s="21"/>
      <c r="F339" s="21"/>
      <c r="G339" s="21"/>
      <c r="H339" s="21"/>
      <c r="I339" s="21"/>
    </row>
    <row r="340" spans="1:9" hidden="1" x14ac:dyDescent="0.2">
      <c r="D340" s="21"/>
      <c r="E340" s="21"/>
      <c r="F340" s="21"/>
      <c r="G340" s="21"/>
      <c r="H340" s="21"/>
      <c r="I340" s="21"/>
    </row>
    <row r="341" spans="1:9" hidden="1" x14ac:dyDescent="0.2">
      <c r="D341" s="21"/>
      <c r="E341" s="21"/>
      <c r="F341" s="21"/>
      <c r="G341" s="21"/>
      <c r="H341" s="21"/>
      <c r="I341" s="21"/>
    </row>
    <row r="342" spans="1:9" hidden="1" x14ac:dyDescent="0.2">
      <c r="D342" s="21"/>
      <c r="E342" s="21"/>
      <c r="F342" s="21"/>
      <c r="G342" s="21"/>
      <c r="H342" s="21"/>
      <c r="I342" s="21"/>
    </row>
    <row r="343" spans="1:9" hidden="1" x14ac:dyDescent="0.2">
      <c r="D343" s="21"/>
      <c r="E343" s="21"/>
      <c r="F343" s="21"/>
      <c r="G343" s="21"/>
      <c r="H343" s="21"/>
      <c r="I343" s="21"/>
    </row>
    <row r="344" spans="1:9" hidden="1" x14ac:dyDescent="0.2">
      <c r="D344" s="21"/>
      <c r="E344" s="21"/>
      <c r="F344" s="21"/>
      <c r="G344" s="21"/>
      <c r="H344" s="21"/>
      <c r="I344" s="21"/>
    </row>
    <row r="345" spans="1:9" hidden="1" x14ac:dyDescent="0.2">
      <c r="D345" s="21"/>
      <c r="E345" s="21"/>
      <c r="F345" s="21"/>
      <c r="G345" s="21"/>
      <c r="H345" s="21"/>
      <c r="I345" s="21"/>
    </row>
    <row r="346" spans="1:9" hidden="1" x14ac:dyDescent="0.2">
      <c r="D346" s="21"/>
      <c r="E346" s="21"/>
      <c r="F346" s="21"/>
      <c r="G346" s="21"/>
      <c r="H346" s="21"/>
      <c r="I346" s="21"/>
    </row>
    <row r="347" spans="1:9" hidden="1" x14ac:dyDescent="0.2">
      <c r="D347" s="21"/>
      <c r="E347" s="21"/>
      <c r="F347" s="21"/>
      <c r="G347" s="21"/>
      <c r="H347" s="21"/>
      <c r="I347" s="21"/>
    </row>
    <row r="348" spans="1:9" hidden="1" x14ac:dyDescent="0.2">
      <c r="D348" s="21"/>
      <c r="E348" s="21"/>
      <c r="F348" s="21"/>
      <c r="G348" s="21"/>
      <c r="H348" s="21"/>
      <c r="I348" s="21"/>
    </row>
    <row r="349" spans="1:9" hidden="1" x14ac:dyDescent="0.2">
      <c r="D349" s="21"/>
      <c r="E349" s="21"/>
      <c r="F349" s="21"/>
      <c r="G349" s="21"/>
      <c r="H349" s="21"/>
      <c r="I349" s="21"/>
    </row>
    <row r="350" spans="1:9" hidden="1" x14ac:dyDescent="0.2">
      <c r="D350" s="21"/>
      <c r="E350" s="21"/>
      <c r="F350" s="21"/>
      <c r="G350" s="21"/>
      <c r="H350" s="21"/>
      <c r="I350" s="21"/>
    </row>
    <row r="351" spans="1:9" x14ac:dyDescent="0.2">
      <c r="A351" s="2" t="s">
        <v>1545</v>
      </c>
      <c r="D351" s="21"/>
      <c r="E351" s="21"/>
      <c r="F351" s="21"/>
      <c r="G351" s="21"/>
      <c r="H351" s="21"/>
      <c r="I351" s="21"/>
    </row>
    <row r="352" spans="1:9" x14ac:dyDescent="0.2">
      <c r="D352" s="21"/>
      <c r="E352" s="21"/>
      <c r="F352" s="21"/>
      <c r="G352" s="21"/>
      <c r="H352" s="21"/>
      <c r="I352" s="21"/>
    </row>
    <row r="353" spans="1:9" x14ac:dyDescent="0.2">
      <c r="A353" s="2" t="s">
        <v>25</v>
      </c>
      <c r="C353" t="s">
        <v>1486</v>
      </c>
      <c r="D353" s="21"/>
      <c r="E353" s="21">
        <v>95</v>
      </c>
      <c r="F353" s="21"/>
      <c r="G353" s="21">
        <v>115</v>
      </c>
      <c r="H353" s="21"/>
      <c r="I353" s="21">
        <v>115</v>
      </c>
    </row>
    <row r="354" spans="1:9" x14ac:dyDescent="0.2">
      <c r="C354" t="s">
        <v>1479</v>
      </c>
      <c r="D354" s="21"/>
      <c r="E354" s="21">
        <v>14</v>
      </c>
      <c r="F354" s="21"/>
      <c r="G354" s="21">
        <v>25</v>
      </c>
      <c r="H354" s="21"/>
      <c r="I354" s="21">
        <v>23</v>
      </c>
    </row>
    <row r="355" spans="1:9" x14ac:dyDescent="0.2">
      <c r="C355" t="s">
        <v>1480</v>
      </c>
      <c r="D355" s="21">
        <v>12</v>
      </c>
      <c r="E355" s="21">
        <v>12</v>
      </c>
      <c r="F355" s="21">
        <v>15</v>
      </c>
      <c r="G355" s="21">
        <v>20</v>
      </c>
      <c r="H355" s="21">
        <v>12</v>
      </c>
      <c r="I355" s="21">
        <v>18</v>
      </c>
    </row>
    <row r="356" spans="1:9" x14ac:dyDescent="0.2">
      <c r="C356" t="s">
        <v>1481</v>
      </c>
      <c r="D356" s="21"/>
      <c r="E356" s="21"/>
      <c r="F356" s="21"/>
      <c r="G356" s="21"/>
      <c r="H356" s="21"/>
      <c r="I356" s="21"/>
    </row>
    <row r="357" spans="1:9" x14ac:dyDescent="0.2">
      <c r="D357" s="21"/>
      <c r="E357" s="21"/>
      <c r="F357" s="21"/>
      <c r="G357" s="21"/>
      <c r="H357" s="21"/>
      <c r="I357" s="21"/>
    </row>
    <row r="358" spans="1:9" x14ac:dyDescent="0.2">
      <c r="A358" s="2" t="s">
        <v>26</v>
      </c>
      <c r="C358" t="s">
        <v>1486</v>
      </c>
      <c r="D358" s="21"/>
      <c r="E358" s="21"/>
      <c r="F358" s="21"/>
      <c r="G358" s="21">
        <v>95</v>
      </c>
      <c r="H358" s="21"/>
      <c r="I358" s="21">
        <v>95</v>
      </c>
    </row>
    <row r="359" spans="1:9" x14ac:dyDescent="0.2">
      <c r="C359" t="s">
        <v>1479</v>
      </c>
      <c r="D359" s="21"/>
      <c r="E359" s="21"/>
      <c r="F359" s="21"/>
      <c r="G359" s="21">
        <v>23</v>
      </c>
      <c r="H359" s="21"/>
      <c r="I359" s="21">
        <v>23</v>
      </c>
    </row>
    <row r="360" spans="1:9" x14ac:dyDescent="0.2">
      <c r="C360" t="s">
        <v>1480</v>
      </c>
      <c r="D360" s="21">
        <v>13</v>
      </c>
      <c r="E360" s="21">
        <v>12</v>
      </c>
      <c r="F360" s="21">
        <v>12</v>
      </c>
      <c r="G360" s="21">
        <v>15</v>
      </c>
      <c r="H360" s="21">
        <v>15</v>
      </c>
      <c r="I360" s="21">
        <v>20</v>
      </c>
    </row>
    <row r="361" spans="1:9" x14ac:dyDescent="0.2">
      <c r="C361" t="s">
        <v>1481</v>
      </c>
      <c r="D361" s="21"/>
      <c r="E361" s="21"/>
      <c r="F361" s="21"/>
      <c r="G361" s="21"/>
      <c r="H361" s="21">
        <v>2</v>
      </c>
      <c r="I361" s="21">
        <v>2</v>
      </c>
    </row>
    <row r="362" spans="1:9" x14ac:dyDescent="0.2">
      <c r="A362" s="19"/>
      <c r="B362" s="19"/>
      <c r="C362" s="19"/>
      <c r="D362" s="23"/>
      <c r="E362" s="23"/>
      <c r="F362" s="23"/>
      <c r="G362" s="23"/>
      <c r="H362" s="23"/>
      <c r="I362" s="23"/>
    </row>
    <row r="363" spans="1:9" hidden="1" x14ac:dyDescent="0.2">
      <c r="D363" s="21"/>
      <c r="E363" s="21"/>
      <c r="F363" s="21"/>
      <c r="G363" s="21"/>
      <c r="H363" s="21"/>
      <c r="I363" s="21"/>
    </row>
    <row r="364" spans="1:9" hidden="1" x14ac:dyDescent="0.2">
      <c r="D364" s="21"/>
      <c r="E364" s="21"/>
      <c r="F364" s="21"/>
      <c r="G364" s="21"/>
      <c r="H364" s="21"/>
      <c r="I364" s="21"/>
    </row>
    <row r="365" spans="1:9" hidden="1" x14ac:dyDescent="0.2">
      <c r="D365" s="21"/>
      <c r="E365" s="21"/>
      <c r="F365" s="21"/>
      <c r="G365" s="21"/>
      <c r="H365" s="21"/>
      <c r="I365" s="21"/>
    </row>
    <row r="366" spans="1:9" hidden="1" x14ac:dyDescent="0.2">
      <c r="D366" s="21"/>
      <c r="E366" s="21"/>
      <c r="F366" s="21"/>
      <c r="G366" s="21"/>
      <c r="H366" s="21"/>
      <c r="I366" s="21"/>
    </row>
    <row r="367" spans="1:9" hidden="1" x14ac:dyDescent="0.2">
      <c r="D367" s="21"/>
      <c r="E367" s="21"/>
      <c r="F367" s="21"/>
      <c r="G367" s="21"/>
      <c r="H367" s="21"/>
      <c r="I367" s="21"/>
    </row>
    <row r="368" spans="1:9" hidden="1" x14ac:dyDescent="0.2">
      <c r="D368" s="21"/>
      <c r="E368" s="21"/>
      <c r="F368" s="21"/>
      <c r="G368" s="21"/>
      <c r="H368" s="21"/>
      <c r="I368" s="21"/>
    </row>
    <row r="369" spans="1:9" hidden="1" x14ac:dyDescent="0.2">
      <c r="D369" s="21"/>
      <c r="E369" s="21"/>
      <c r="F369" s="21"/>
      <c r="G369" s="21"/>
      <c r="H369" s="21"/>
      <c r="I369" s="21"/>
    </row>
    <row r="370" spans="1:9" hidden="1" x14ac:dyDescent="0.2">
      <c r="D370" s="21"/>
      <c r="E370" s="21"/>
      <c r="F370" s="21"/>
      <c r="G370" s="21"/>
      <c r="H370" s="21"/>
      <c r="I370" s="21"/>
    </row>
    <row r="371" spans="1:9" hidden="1" x14ac:dyDescent="0.2">
      <c r="D371" s="21"/>
      <c r="E371" s="21"/>
      <c r="F371" s="21"/>
      <c r="G371" s="21"/>
      <c r="H371" s="21"/>
      <c r="I371" s="21"/>
    </row>
    <row r="372" spans="1:9" hidden="1" x14ac:dyDescent="0.2">
      <c r="D372" s="21"/>
      <c r="E372" s="21"/>
      <c r="F372" s="21"/>
      <c r="G372" s="21"/>
      <c r="H372" s="21"/>
      <c r="I372" s="21"/>
    </row>
    <row r="373" spans="1:9" hidden="1" x14ac:dyDescent="0.2">
      <c r="D373" s="21"/>
      <c r="E373" s="21"/>
      <c r="F373" s="21"/>
      <c r="G373" s="21"/>
      <c r="H373" s="21"/>
      <c r="I373" s="21"/>
    </row>
    <row r="374" spans="1:9" x14ac:dyDescent="0.2">
      <c r="A374" s="2" t="s">
        <v>1695</v>
      </c>
      <c r="D374" s="21"/>
      <c r="E374" s="21"/>
      <c r="F374" s="21"/>
      <c r="G374" s="21"/>
      <c r="H374" s="21"/>
      <c r="I374" s="21"/>
    </row>
    <row r="375" spans="1:9" x14ac:dyDescent="0.2">
      <c r="D375" s="21"/>
      <c r="E375" s="21"/>
      <c r="F375" s="21"/>
      <c r="G375" s="21"/>
      <c r="H375" s="21"/>
      <c r="I375" s="21"/>
    </row>
    <row r="376" spans="1:9" x14ac:dyDescent="0.2">
      <c r="A376" s="2" t="s">
        <v>25</v>
      </c>
      <c r="C376" t="s">
        <v>1486</v>
      </c>
      <c r="D376" s="21"/>
      <c r="E376" s="21">
        <v>10</v>
      </c>
      <c r="F376" s="21"/>
      <c r="G376" s="21">
        <v>20</v>
      </c>
      <c r="H376" s="21"/>
      <c r="I376" s="21">
        <v>45</v>
      </c>
    </row>
    <row r="377" spans="1:9" x14ac:dyDescent="0.2">
      <c r="C377" t="s">
        <v>1479</v>
      </c>
      <c r="D377" s="21"/>
      <c r="E377" s="21">
        <v>31</v>
      </c>
      <c r="F377" s="21"/>
      <c r="G377" s="21">
        <v>29</v>
      </c>
      <c r="H377" s="21"/>
      <c r="I377" s="21">
        <v>27</v>
      </c>
    </row>
    <row r="378" spans="1:9" x14ac:dyDescent="0.2">
      <c r="C378" t="s">
        <v>1480</v>
      </c>
      <c r="D378" s="21">
        <v>10</v>
      </c>
      <c r="E378" s="21">
        <v>10</v>
      </c>
      <c r="F378" s="21">
        <v>10</v>
      </c>
      <c r="G378" s="21">
        <v>12</v>
      </c>
      <c r="H378" s="21">
        <v>12</v>
      </c>
      <c r="I378" s="21">
        <v>20</v>
      </c>
    </row>
    <row r="379" spans="1:9" x14ac:dyDescent="0.2">
      <c r="C379" t="s">
        <v>1481</v>
      </c>
      <c r="D379" s="21"/>
      <c r="E379" s="21"/>
      <c r="F379" s="21"/>
      <c r="G379" s="21"/>
      <c r="H379" s="21"/>
      <c r="I379" s="21"/>
    </row>
    <row r="380" spans="1:9" x14ac:dyDescent="0.2">
      <c r="D380" s="21"/>
      <c r="E380" s="21"/>
      <c r="F380" s="21"/>
      <c r="G380" s="21"/>
      <c r="H380" s="21"/>
      <c r="I380" s="21"/>
    </row>
    <row r="381" spans="1:9" x14ac:dyDescent="0.2">
      <c r="A381" s="2" t="s">
        <v>26</v>
      </c>
      <c r="C381" t="s">
        <v>1486</v>
      </c>
      <c r="D381" s="21"/>
      <c r="E381" s="21"/>
      <c r="F381" s="21"/>
      <c r="G381" s="21">
        <v>50</v>
      </c>
      <c r="H381" s="21"/>
      <c r="I381" s="21">
        <v>60</v>
      </c>
    </row>
    <row r="382" spans="1:9" x14ac:dyDescent="0.2">
      <c r="C382" t="s">
        <v>1479</v>
      </c>
      <c r="D382" s="21"/>
      <c r="E382" s="21"/>
      <c r="F382" s="21"/>
      <c r="G382" s="21">
        <v>25</v>
      </c>
      <c r="H382" s="21"/>
      <c r="I382" s="21">
        <v>25</v>
      </c>
    </row>
    <row r="383" spans="1:9" x14ac:dyDescent="0.2">
      <c r="C383" t="s">
        <v>1480</v>
      </c>
      <c r="D383" s="21">
        <v>15</v>
      </c>
      <c r="E383" s="21">
        <v>18</v>
      </c>
      <c r="F383" s="21">
        <v>18</v>
      </c>
      <c r="G383" s="21">
        <v>16</v>
      </c>
      <c r="H383" s="21">
        <v>20</v>
      </c>
      <c r="I383" s="21">
        <v>20</v>
      </c>
    </row>
    <row r="384" spans="1:9" x14ac:dyDescent="0.2">
      <c r="C384" t="s">
        <v>1481</v>
      </c>
      <c r="D384" s="21"/>
      <c r="E384" s="21"/>
      <c r="F384" s="21"/>
      <c r="G384" s="21"/>
      <c r="H384" s="21"/>
      <c r="I384" s="21"/>
    </row>
    <row r="385" spans="1:9" x14ac:dyDescent="0.2">
      <c r="A385" s="19"/>
      <c r="B385" s="19"/>
      <c r="C385" s="19"/>
      <c r="D385" s="23"/>
      <c r="E385" s="23"/>
      <c r="F385" s="23"/>
      <c r="G385" s="23"/>
      <c r="H385" s="23"/>
      <c r="I385" s="23"/>
    </row>
    <row r="386" spans="1:9" hidden="1" x14ac:dyDescent="0.2">
      <c r="D386" s="21"/>
      <c r="E386" s="21"/>
      <c r="F386" s="21"/>
      <c r="G386" s="21"/>
      <c r="H386" s="21"/>
      <c r="I386" s="21"/>
    </row>
    <row r="387" spans="1:9" hidden="1" x14ac:dyDescent="0.2">
      <c r="D387" s="21"/>
      <c r="E387" s="21"/>
      <c r="F387" s="21"/>
      <c r="G387" s="21"/>
      <c r="H387" s="21"/>
      <c r="I387" s="21"/>
    </row>
    <row r="388" spans="1:9" hidden="1" x14ac:dyDescent="0.2">
      <c r="D388" s="21"/>
      <c r="E388" s="21"/>
      <c r="F388" s="21"/>
      <c r="G388" s="21"/>
      <c r="H388" s="21"/>
      <c r="I388" s="21"/>
    </row>
    <row r="389" spans="1:9" hidden="1" x14ac:dyDescent="0.2">
      <c r="D389" s="21"/>
      <c r="E389" s="21"/>
      <c r="F389" s="21"/>
      <c r="G389" s="21"/>
      <c r="H389" s="21"/>
      <c r="I389" s="21"/>
    </row>
    <row r="390" spans="1:9" hidden="1" x14ac:dyDescent="0.2">
      <c r="D390" s="21"/>
      <c r="E390" s="21"/>
      <c r="F390" s="21"/>
      <c r="G390" s="21"/>
      <c r="H390" s="21"/>
      <c r="I390" s="21"/>
    </row>
    <row r="391" spans="1:9" hidden="1" x14ac:dyDescent="0.2">
      <c r="D391" s="21"/>
      <c r="E391" s="21"/>
      <c r="F391" s="21"/>
      <c r="G391" s="21"/>
      <c r="H391" s="21"/>
      <c r="I391" s="21"/>
    </row>
    <row r="392" spans="1:9" hidden="1" x14ac:dyDescent="0.2">
      <c r="D392" s="21"/>
      <c r="E392" s="21"/>
      <c r="F392" s="21"/>
      <c r="G392" s="21"/>
      <c r="H392" s="21"/>
      <c r="I392" s="21"/>
    </row>
    <row r="393" spans="1:9" hidden="1" x14ac:dyDescent="0.2">
      <c r="D393" s="21"/>
      <c r="E393" s="21"/>
      <c r="F393" s="21"/>
      <c r="G393" s="21"/>
      <c r="H393" s="21"/>
      <c r="I393" s="21"/>
    </row>
    <row r="394" spans="1:9" hidden="1" x14ac:dyDescent="0.2">
      <c r="D394" s="21"/>
      <c r="E394" s="21"/>
      <c r="F394" s="21"/>
      <c r="G394" s="21"/>
      <c r="H394" s="21"/>
      <c r="I394" s="21"/>
    </row>
    <row r="395" spans="1:9" hidden="1" x14ac:dyDescent="0.2">
      <c r="D395" s="21"/>
      <c r="E395" s="21"/>
      <c r="F395" s="21"/>
      <c r="G395" s="21"/>
      <c r="H395" s="21"/>
      <c r="I395" s="21"/>
    </row>
    <row r="396" spans="1:9" hidden="1" x14ac:dyDescent="0.2">
      <c r="D396" s="21"/>
      <c r="E396" s="21"/>
      <c r="F396" s="21"/>
      <c r="G396" s="21"/>
      <c r="H396" s="21"/>
      <c r="I396" s="21"/>
    </row>
    <row r="397" spans="1:9" x14ac:dyDescent="0.2">
      <c r="A397" s="2" t="s">
        <v>1696</v>
      </c>
      <c r="D397" s="21"/>
      <c r="E397" s="21"/>
      <c r="F397" s="21"/>
      <c r="G397" s="21"/>
      <c r="H397" s="21"/>
      <c r="I397" s="21"/>
    </row>
    <row r="398" spans="1:9" x14ac:dyDescent="0.2">
      <c r="D398" s="21"/>
      <c r="E398" s="21"/>
      <c r="F398" s="21"/>
      <c r="G398" s="21"/>
      <c r="H398" s="21"/>
      <c r="I398" s="21"/>
    </row>
    <row r="399" spans="1:9" x14ac:dyDescent="0.2">
      <c r="A399" s="2" t="s">
        <v>25</v>
      </c>
      <c r="C399" t="s">
        <v>1486</v>
      </c>
      <c r="D399" s="21"/>
      <c r="E399" s="21">
        <v>10</v>
      </c>
      <c r="F399" s="21"/>
      <c r="G399" s="21">
        <v>5</v>
      </c>
      <c r="H399" s="21"/>
      <c r="I399" s="21">
        <v>5</v>
      </c>
    </row>
    <row r="400" spans="1:9" x14ac:dyDescent="0.2">
      <c r="C400" t="s">
        <v>1479</v>
      </c>
      <c r="D400" s="21"/>
      <c r="E400" s="21">
        <v>28</v>
      </c>
      <c r="F400" s="21"/>
      <c r="G400" s="21">
        <v>30</v>
      </c>
      <c r="H400" s="21"/>
      <c r="I400" s="21">
        <v>24</v>
      </c>
    </row>
    <row r="401" spans="1:9" x14ac:dyDescent="0.2">
      <c r="C401" t="s">
        <v>1480</v>
      </c>
      <c r="D401" s="21">
        <v>5</v>
      </c>
      <c r="E401" s="21">
        <v>5</v>
      </c>
      <c r="F401" s="21">
        <v>5</v>
      </c>
      <c r="G401" s="21">
        <v>5</v>
      </c>
      <c r="H401" s="21">
        <v>5</v>
      </c>
      <c r="I401" s="21">
        <v>5</v>
      </c>
    </row>
    <row r="402" spans="1:9" x14ac:dyDescent="0.2">
      <c r="C402" t="s">
        <v>1481</v>
      </c>
      <c r="D402" s="21"/>
      <c r="E402" s="21"/>
      <c r="F402" s="21"/>
      <c r="G402" s="21"/>
      <c r="H402" s="21"/>
      <c r="I402" s="21"/>
    </row>
    <row r="403" spans="1:9" x14ac:dyDescent="0.2">
      <c r="D403" s="21"/>
      <c r="E403" s="21"/>
      <c r="F403" s="21"/>
      <c r="G403" s="21"/>
      <c r="H403" s="21"/>
      <c r="I403" s="21"/>
    </row>
    <row r="404" spans="1:9" x14ac:dyDescent="0.2">
      <c r="A404" s="2" t="s">
        <v>26</v>
      </c>
      <c r="C404" t="s">
        <v>1486</v>
      </c>
      <c r="D404" s="21"/>
      <c r="E404" s="21"/>
      <c r="F404" s="21"/>
      <c r="G404" s="21">
        <v>15</v>
      </c>
      <c r="H404" s="21"/>
      <c r="I404" s="21">
        <v>10</v>
      </c>
    </row>
    <row r="405" spans="1:9" x14ac:dyDescent="0.2">
      <c r="C405" t="s">
        <v>1479</v>
      </c>
      <c r="D405" s="21"/>
      <c r="E405" s="21"/>
      <c r="F405" s="21"/>
      <c r="G405" s="21">
        <v>22</v>
      </c>
      <c r="H405" s="21"/>
      <c r="I405" s="21">
        <v>22</v>
      </c>
    </row>
    <row r="406" spans="1:9" x14ac:dyDescent="0.2">
      <c r="C406" t="s">
        <v>1480</v>
      </c>
      <c r="D406" s="21">
        <v>5</v>
      </c>
      <c r="E406" s="21">
        <v>5</v>
      </c>
      <c r="F406" s="21">
        <v>5</v>
      </c>
      <c r="G406" s="21">
        <v>5</v>
      </c>
      <c r="H406" s="21">
        <v>5</v>
      </c>
      <c r="I406" s="21">
        <v>5</v>
      </c>
    </row>
    <row r="407" spans="1:9" x14ac:dyDescent="0.2">
      <c r="C407" t="s">
        <v>1481</v>
      </c>
      <c r="D407" s="21"/>
      <c r="E407" s="21"/>
      <c r="F407" s="21"/>
      <c r="G407" s="21"/>
      <c r="H407" s="21"/>
      <c r="I407" s="21"/>
    </row>
    <row r="408" spans="1:9" x14ac:dyDescent="0.2">
      <c r="A408" s="19"/>
      <c r="B408" s="19"/>
      <c r="C408" s="19"/>
      <c r="D408" s="23"/>
      <c r="E408" s="23"/>
      <c r="F408" s="23"/>
      <c r="G408" s="23"/>
      <c r="H408" s="23"/>
      <c r="I408" s="23"/>
    </row>
    <row r="409" spans="1:9" hidden="1" x14ac:dyDescent="0.2">
      <c r="D409" s="21"/>
      <c r="E409" s="21"/>
      <c r="F409" s="21"/>
      <c r="G409" s="21"/>
      <c r="H409" s="21"/>
      <c r="I409" s="21"/>
    </row>
    <row r="410" spans="1:9" hidden="1" x14ac:dyDescent="0.2">
      <c r="D410" s="21"/>
      <c r="E410" s="21"/>
      <c r="F410" s="21"/>
      <c r="G410" s="21"/>
      <c r="H410" s="21"/>
      <c r="I410" s="21"/>
    </row>
    <row r="411" spans="1:9" hidden="1" x14ac:dyDescent="0.2">
      <c r="D411" s="21"/>
      <c r="E411" s="21"/>
      <c r="F411" s="21"/>
      <c r="G411" s="21"/>
      <c r="H411" s="21"/>
      <c r="I411" s="21"/>
    </row>
    <row r="412" spans="1:9" hidden="1" x14ac:dyDescent="0.2">
      <c r="D412" s="21"/>
      <c r="E412" s="21"/>
      <c r="F412" s="21"/>
      <c r="G412" s="21"/>
      <c r="H412" s="21"/>
      <c r="I412" s="21"/>
    </row>
    <row r="413" spans="1:9" hidden="1" x14ac:dyDescent="0.2">
      <c r="D413" s="21"/>
      <c r="E413" s="21"/>
      <c r="F413" s="21"/>
      <c r="G413" s="21"/>
      <c r="H413" s="21"/>
      <c r="I413" s="21"/>
    </row>
    <row r="414" spans="1:9" hidden="1" x14ac:dyDescent="0.2">
      <c r="D414" s="21"/>
      <c r="E414" s="21"/>
      <c r="F414" s="21"/>
      <c r="G414" s="21"/>
      <c r="H414" s="21"/>
      <c r="I414" s="21"/>
    </row>
    <row r="415" spans="1:9" hidden="1" x14ac:dyDescent="0.2">
      <c r="D415" s="21"/>
      <c r="E415" s="21"/>
      <c r="F415" s="21"/>
      <c r="G415" s="21"/>
      <c r="H415" s="21"/>
      <c r="I415" s="21"/>
    </row>
    <row r="416" spans="1:9" hidden="1" x14ac:dyDescent="0.2">
      <c r="D416" s="21"/>
      <c r="E416" s="21"/>
      <c r="F416" s="21"/>
      <c r="G416" s="21"/>
      <c r="H416" s="21"/>
      <c r="I416" s="21"/>
    </row>
    <row r="417" spans="1:9" hidden="1" x14ac:dyDescent="0.2">
      <c r="D417" s="21"/>
      <c r="E417" s="21"/>
      <c r="F417" s="21"/>
      <c r="G417" s="21"/>
      <c r="H417" s="21"/>
      <c r="I417" s="21"/>
    </row>
    <row r="418" spans="1:9" hidden="1" x14ac:dyDescent="0.2">
      <c r="D418" s="21"/>
      <c r="E418" s="21"/>
      <c r="F418" s="21"/>
      <c r="G418" s="21"/>
      <c r="H418" s="21"/>
      <c r="I418" s="21"/>
    </row>
    <row r="419" spans="1:9" hidden="1" x14ac:dyDescent="0.2">
      <c r="D419" s="21"/>
      <c r="E419" s="21"/>
      <c r="F419" s="21"/>
      <c r="G419" s="21"/>
      <c r="H419" s="21"/>
      <c r="I419" s="21"/>
    </row>
    <row r="420" spans="1:9" x14ac:dyDescent="0.2">
      <c r="A420" s="2" t="s">
        <v>1697</v>
      </c>
      <c r="D420" s="21"/>
      <c r="E420" s="21"/>
      <c r="F420" s="21"/>
      <c r="G420" s="21"/>
      <c r="H420" s="21"/>
      <c r="I420" s="21"/>
    </row>
    <row r="421" spans="1:9" x14ac:dyDescent="0.2">
      <c r="D421" s="21"/>
      <c r="E421" s="21"/>
      <c r="F421" s="21"/>
      <c r="G421" s="21"/>
      <c r="H421" s="21"/>
      <c r="I421" s="21"/>
    </row>
    <row r="422" spans="1:9" x14ac:dyDescent="0.2">
      <c r="A422" s="2" t="s">
        <v>25</v>
      </c>
      <c r="C422" t="s">
        <v>1486</v>
      </c>
      <c r="D422" s="21"/>
      <c r="E422" s="21">
        <v>95</v>
      </c>
      <c r="F422" s="21"/>
      <c r="G422" s="21">
        <v>95</v>
      </c>
      <c r="H422" s="21"/>
      <c r="I422" s="21">
        <v>70</v>
      </c>
    </row>
    <row r="423" spans="1:9" x14ac:dyDescent="0.2">
      <c r="C423" t="s">
        <v>1479</v>
      </c>
      <c r="D423" s="21"/>
      <c r="E423" s="21">
        <v>31</v>
      </c>
      <c r="F423" s="21"/>
      <c r="G423" s="21">
        <v>31</v>
      </c>
      <c r="H423" s="21"/>
      <c r="I423" s="21">
        <v>29</v>
      </c>
    </row>
    <row r="424" spans="1:9" x14ac:dyDescent="0.2">
      <c r="C424" t="s">
        <v>1480</v>
      </c>
      <c r="D424" s="21">
        <v>8</v>
      </c>
      <c r="E424" s="21">
        <v>15</v>
      </c>
      <c r="F424" s="21">
        <v>15</v>
      </c>
      <c r="G424" s="21">
        <v>20</v>
      </c>
      <c r="H424" s="21">
        <v>20</v>
      </c>
      <c r="I424" s="21">
        <v>20</v>
      </c>
    </row>
    <row r="425" spans="1:9" x14ac:dyDescent="0.2">
      <c r="C425" t="s">
        <v>1481</v>
      </c>
      <c r="D425" s="21"/>
      <c r="E425" s="21"/>
      <c r="F425" s="21"/>
      <c r="G425" s="21"/>
      <c r="H425" s="21"/>
      <c r="I425" s="21"/>
    </row>
    <row r="426" spans="1:9" x14ac:dyDescent="0.2">
      <c r="D426" s="21"/>
      <c r="E426" s="21"/>
      <c r="F426" s="21"/>
      <c r="G426" s="21"/>
      <c r="H426" s="21"/>
      <c r="I426" s="21"/>
    </row>
    <row r="427" spans="1:9" x14ac:dyDescent="0.2">
      <c r="A427" s="2" t="s">
        <v>26</v>
      </c>
      <c r="C427" t="s">
        <v>1486</v>
      </c>
      <c r="D427" s="21"/>
      <c r="E427" s="21"/>
      <c r="F427" s="21"/>
      <c r="G427" s="21">
        <v>50</v>
      </c>
      <c r="H427" s="21"/>
      <c r="I427" s="21">
        <v>50</v>
      </c>
    </row>
    <row r="428" spans="1:9" x14ac:dyDescent="0.2">
      <c r="C428" t="s">
        <v>1479</v>
      </c>
      <c r="D428" s="21"/>
      <c r="E428" s="21"/>
      <c r="F428" s="21"/>
      <c r="G428" s="21">
        <v>33</v>
      </c>
      <c r="H428" s="21"/>
      <c r="I428" s="21">
        <v>31</v>
      </c>
    </row>
    <row r="429" spans="1:9" x14ac:dyDescent="0.2">
      <c r="C429" t="s">
        <v>1480</v>
      </c>
      <c r="D429" s="21">
        <v>10</v>
      </c>
      <c r="E429" s="21">
        <v>10</v>
      </c>
      <c r="F429" s="21">
        <v>10</v>
      </c>
      <c r="G429" s="21">
        <v>10</v>
      </c>
      <c r="H429" s="21">
        <v>10</v>
      </c>
      <c r="I429" s="21">
        <v>5</v>
      </c>
    </row>
    <row r="430" spans="1:9" x14ac:dyDescent="0.2">
      <c r="C430" t="s">
        <v>1481</v>
      </c>
      <c r="D430" s="21"/>
      <c r="E430" s="21"/>
      <c r="F430" s="21"/>
      <c r="G430" s="21"/>
      <c r="H430" s="21"/>
      <c r="I430" s="21"/>
    </row>
    <row r="431" spans="1:9" x14ac:dyDescent="0.2">
      <c r="A431" s="19"/>
      <c r="B431" s="19"/>
      <c r="C431" s="19"/>
      <c r="D431" s="23"/>
      <c r="E431" s="23"/>
      <c r="F431" s="23"/>
      <c r="G431" s="23"/>
      <c r="H431" s="23"/>
      <c r="I431" s="23"/>
    </row>
    <row r="432" spans="1:9" hidden="1" x14ac:dyDescent="0.2">
      <c r="D432" s="21"/>
      <c r="E432" s="21"/>
      <c r="F432" s="21"/>
      <c r="G432" s="21"/>
      <c r="H432" s="21"/>
      <c r="I432" s="21"/>
    </row>
    <row r="433" spans="1:9" hidden="1" x14ac:dyDescent="0.2">
      <c r="D433" s="21"/>
      <c r="E433" s="21"/>
      <c r="F433" s="21"/>
      <c r="G433" s="21"/>
      <c r="H433" s="21"/>
      <c r="I433" s="21"/>
    </row>
    <row r="434" spans="1:9" hidden="1" x14ac:dyDescent="0.2">
      <c r="D434" s="21"/>
      <c r="E434" s="21"/>
      <c r="F434" s="21"/>
      <c r="G434" s="21"/>
      <c r="H434" s="21"/>
      <c r="I434" s="21"/>
    </row>
    <row r="435" spans="1:9" hidden="1" x14ac:dyDescent="0.2">
      <c r="D435" s="21"/>
      <c r="E435" s="21"/>
      <c r="F435" s="21"/>
      <c r="G435" s="21"/>
      <c r="H435" s="21"/>
      <c r="I435" s="21"/>
    </row>
    <row r="436" spans="1:9" hidden="1" x14ac:dyDescent="0.2">
      <c r="D436" s="21"/>
      <c r="E436" s="21"/>
      <c r="F436" s="21"/>
      <c r="G436" s="21"/>
      <c r="H436" s="21"/>
      <c r="I436" s="21"/>
    </row>
    <row r="437" spans="1:9" hidden="1" x14ac:dyDescent="0.2">
      <c r="D437" s="21"/>
      <c r="E437" s="21"/>
      <c r="F437" s="21"/>
      <c r="G437" s="21"/>
      <c r="H437" s="21"/>
      <c r="I437" s="21"/>
    </row>
    <row r="438" spans="1:9" hidden="1" x14ac:dyDescent="0.2">
      <c r="D438" s="21"/>
      <c r="E438" s="21"/>
      <c r="F438" s="21"/>
      <c r="G438" s="21"/>
      <c r="H438" s="21"/>
      <c r="I438" s="21"/>
    </row>
    <row r="439" spans="1:9" hidden="1" x14ac:dyDescent="0.2">
      <c r="D439" s="21"/>
      <c r="E439" s="21"/>
      <c r="F439" s="21"/>
      <c r="G439" s="21"/>
      <c r="H439" s="21"/>
      <c r="I439" s="21"/>
    </row>
    <row r="440" spans="1:9" hidden="1" x14ac:dyDescent="0.2">
      <c r="D440" s="21"/>
      <c r="E440" s="21"/>
      <c r="F440" s="21"/>
      <c r="G440" s="21"/>
      <c r="H440" s="21"/>
      <c r="I440" s="21"/>
    </row>
    <row r="441" spans="1:9" hidden="1" x14ac:dyDescent="0.2">
      <c r="D441" s="21"/>
      <c r="E441" s="21"/>
      <c r="F441" s="21"/>
      <c r="G441" s="21"/>
      <c r="H441" s="21"/>
      <c r="I441" s="21"/>
    </row>
    <row r="442" spans="1:9" hidden="1" x14ac:dyDescent="0.2">
      <c r="D442" s="21"/>
      <c r="E442" s="21"/>
      <c r="F442" s="21"/>
      <c r="G442" s="21"/>
      <c r="H442" s="21"/>
      <c r="I442" s="21"/>
    </row>
    <row r="443" spans="1:9" x14ac:dyDescent="0.2">
      <c r="A443" s="2" t="s">
        <v>1698</v>
      </c>
      <c r="D443" s="21"/>
      <c r="E443" s="21"/>
      <c r="F443" s="21"/>
      <c r="G443" s="21"/>
      <c r="H443" s="21"/>
      <c r="I443" s="21"/>
    </row>
    <row r="444" spans="1:9" x14ac:dyDescent="0.2">
      <c r="D444" s="21"/>
      <c r="E444" s="21"/>
      <c r="F444" s="21"/>
      <c r="G444" s="21"/>
      <c r="H444" s="21"/>
      <c r="I444" s="21"/>
    </row>
    <row r="445" spans="1:9" x14ac:dyDescent="0.2">
      <c r="A445" s="2" t="s">
        <v>25</v>
      </c>
      <c r="C445" t="s">
        <v>1486</v>
      </c>
      <c r="D445" s="21"/>
      <c r="E445" s="21">
        <v>55</v>
      </c>
      <c r="F445" s="21"/>
      <c r="G445" s="21">
        <v>70</v>
      </c>
      <c r="H445" s="21"/>
      <c r="I445" s="21">
        <v>60</v>
      </c>
    </row>
    <row r="446" spans="1:9" x14ac:dyDescent="0.2">
      <c r="C446" t="s">
        <v>1479</v>
      </c>
      <c r="D446" s="21"/>
      <c r="E446" s="21">
        <v>23</v>
      </c>
      <c r="F446" s="21"/>
      <c r="G446" s="21">
        <v>23</v>
      </c>
      <c r="H446" s="21"/>
      <c r="I446" s="21">
        <v>23</v>
      </c>
    </row>
    <row r="447" spans="1:9" x14ac:dyDescent="0.2">
      <c r="C447" t="s">
        <v>1480</v>
      </c>
      <c r="D447" s="21">
        <v>5</v>
      </c>
      <c r="E447" s="21">
        <v>5</v>
      </c>
      <c r="F447" s="21">
        <v>10</v>
      </c>
      <c r="G447" s="21">
        <v>10</v>
      </c>
      <c r="H447" s="21">
        <v>10</v>
      </c>
      <c r="I447" s="21">
        <v>10</v>
      </c>
    </row>
    <row r="448" spans="1:9" x14ac:dyDescent="0.2">
      <c r="C448" t="s">
        <v>1481</v>
      </c>
      <c r="D448" s="21">
        <v>2</v>
      </c>
      <c r="E448" s="21">
        <v>2</v>
      </c>
      <c r="F448" s="21">
        <v>2</v>
      </c>
      <c r="G448" s="21">
        <v>2</v>
      </c>
      <c r="H448" s="21">
        <v>2</v>
      </c>
      <c r="I448" s="21">
        <v>2</v>
      </c>
    </row>
    <row r="449" spans="1:9" x14ac:dyDescent="0.2">
      <c r="D449" s="21"/>
      <c r="E449" s="21"/>
      <c r="F449" s="21"/>
      <c r="G449" s="21"/>
      <c r="H449" s="21"/>
      <c r="I449" s="21"/>
    </row>
    <row r="450" spans="1:9" x14ac:dyDescent="0.2">
      <c r="A450" s="2" t="s">
        <v>26</v>
      </c>
      <c r="C450" t="s">
        <v>1486</v>
      </c>
      <c r="D450" s="21"/>
      <c r="E450" s="21"/>
      <c r="F450" s="21"/>
      <c r="G450" s="21">
        <v>60</v>
      </c>
      <c r="H450" s="21"/>
      <c r="I450" s="21">
        <v>60</v>
      </c>
    </row>
    <row r="451" spans="1:9" x14ac:dyDescent="0.2">
      <c r="C451" t="s">
        <v>1479</v>
      </c>
      <c r="D451" s="21"/>
      <c r="E451" s="21"/>
      <c r="F451" s="21"/>
      <c r="G451" s="21">
        <v>25</v>
      </c>
      <c r="H451" s="21"/>
      <c r="I451" s="21">
        <v>25</v>
      </c>
    </row>
    <row r="452" spans="1:9" x14ac:dyDescent="0.2">
      <c r="C452" t="s">
        <v>1480</v>
      </c>
      <c r="D452" s="21">
        <v>7</v>
      </c>
      <c r="E452" s="21">
        <v>5</v>
      </c>
      <c r="F452" s="21">
        <v>5</v>
      </c>
      <c r="G452" s="21">
        <v>5</v>
      </c>
      <c r="H452" s="21">
        <v>5</v>
      </c>
      <c r="I452" s="21">
        <v>5</v>
      </c>
    </row>
    <row r="453" spans="1:9" x14ac:dyDescent="0.2">
      <c r="C453" t="s">
        <v>1481</v>
      </c>
      <c r="D453" s="21"/>
      <c r="E453" s="21"/>
      <c r="F453" s="21"/>
      <c r="G453" s="21"/>
      <c r="H453" s="21"/>
      <c r="I453" s="21"/>
    </row>
  </sheetData>
  <phoneticPr fontId="0" type="noConversion"/>
  <pageMargins left="0.25" right="0.25" top="0.5" bottom="0.5" header="0.5" footer="0.5"/>
  <pageSetup orientation="portrait" r:id="rId1"/>
  <headerFooter alignWithMargins="0"/>
  <rowBreaks count="3" manualBreakCount="3">
    <brk id="118" max="16383" man="1"/>
    <brk id="242" max="8" man="1"/>
    <brk id="350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ClarData">
                <anchor moveWithCells="1" sizeWithCells="1">
                  <from>
                    <xdr:col>10</xdr:col>
                    <xdr:colOff>142875</xdr:colOff>
                    <xdr:row>376</xdr:row>
                    <xdr:rowOff>28575</xdr:rowOff>
                  </from>
                  <to>
                    <xdr:col>11</xdr:col>
                    <xdr:colOff>695325</xdr:colOff>
                    <xdr:row>379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L119"/>
  <sheetViews>
    <sheetView showZeros="0" tabSelected="1" zoomScaleNormal="100" zoomScaleSheetLayoutView="100" workbookViewId="0">
      <selection activeCell="J33" sqref="J33"/>
    </sheetView>
  </sheetViews>
  <sheetFormatPr defaultRowHeight="12.75" x14ac:dyDescent="0.2"/>
  <cols>
    <col min="1" max="1" width="11.5703125" customWidth="1"/>
  </cols>
  <sheetData>
    <row r="1" spans="1:5" x14ac:dyDescent="0.2">
      <c r="A1" s="32">
        <f>'New Daily Lab Data'!A2</f>
        <v>43318</v>
      </c>
      <c r="B1" t="s">
        <v>878</v>
      </c>
    </row>
    <row r="3" spans="1:5" x14ac:dyDescent="0.2">
      <c r="A3" s="2" t="s">
        <v>879</v>
      </c>
    </row>
    <row r="5" spans="1:5" x14ac:dyDescent="0.2">
      <c r="A5" t="s">
        <v>880</v>
      </c>
      <c r="C5" s="33" t="e">
        <f>'New Daily Lab Data'!C13</f>
        <v>#DIV/0!</v>
      </c>
      <c r="D5" s="33" t="e">
        <f>C5</f>
        <v>#DIV/0!</v>
      </c>
      <c r="E5" s="33" t="e">
        <f>D5</f>
        <v>#DIV/0!</v>
      </c>
    </row>
    <row r="6" spans="1:5" x14ac:dyDescent="0.2">
      <c r="A6" t="s">
        <v>881</v>
      </c>
      <c r="C6" s="2"/>
      <c r="D6" s="34" t="e">
        <f>'New Daily Lab Data'!D13</f>
        <v>#DIV/0!</v>
      </c>
      <c r="E6" s="2"/>
    </row>
    <row r="7" spans="1:5" x14ac:dyDescent="0.2">
      <c r="A7" t="s">
        <v>882</v>
      </c>
      <c r="C7" s="2"/>
      <c r="D7" s="33" t="e">
        <f>'New Daily Lab Data'!E13</f>
        <v>#DIV/0!</v>
      </c>
      <c r="E7" s="2"/>
    </row>
    <row r="8" spans="1:5" x14ac:dyDescent="0.2">
      <c r="A8" t="s">
        <v>883</v>
      </c>
      <c r="C8" s="2"/>
      <c r="D8" s="34" t="e">
        <f>'New Daily Lab Data'!AE13</f>
        <v>#DIV/0!</v>
      </c>
      <c r="E8" s="2"/>
    </row>
    <row r="9" spans="1:5" x14ac:dyDescent="0.2">
      <c r="A9" t="s">
        <v>884</v>
      </c>
      <c r="C9" s="2"/>
      <c r="D9" s="33" t="e">
        <f>'New Daily Lab Data'!AG13</f>
        <v>#DIV/0!</v>
      </c>
      <c r="E9" s="2"/>
    </row>
    <row r="10" spans="1:5" x14ac:dyDescent="0.2">
      <c r="A10" t="s">
        <v>885</v>
      </c>
      <c r="C10" s="2"/>
      <c r="D10" s="34" t="e">
        <f>'New Daily Lab Data'!F13</f>
        <v>#DIV/0!</v>
      </c>
      <c r="E10" s="2"/>
    </row>
    <row r="11" spans="1:5" x14ac:dyDescent="0.2">
      <c r="A11" t="s">
        <v>886</v>
      </c>
      <c r="C11" s="2"/>
      <c r="D11" s="33" t="e">
        <f>'New Daily Lab Data'!G13</f>
        <v>#DIV/0!</v>
      </c>
      <c r="E11" s="2"/>
    </row>
    <row r="12" spans="1:5" x14ac:dyDescent="0.2">
      <c r="A12" t="s">
        <v>887</v>
      </c>
      <c r="C12" s="2"/>
      <c r="D12" s="34" t="e">
        <f>'New Daily Lab Data'!H13</f>
        <v>#DIV/0!</v>
      </c>
      <c r="E12" s="2"/>
    </row>
    <row r="13" spans="1:5" x14ac:dyDescent="0.2">
      <c r="A13" t="s">
        <v>888</v>
      </c>
      <c r="C13" s="2"/>
      <c r="D13" s="33" t="e">
        <f>'New Daily Lab Data'!I13</f>
        <v>#DIV/0!</v>
      </c>
      <c r="E13" s="2"/>
    </row>
    <row r="14" spans="1:5" x14ac:dyDescent="0.2">
      <c r="A14" t="s">
        <v>889</v>
      </c>
      <c r="C14" s="2"/>
      <c r="D14" s="34" t="e">
        <f>'New Daily Lab Data'!J13</f>
        <v>#DIV/0!</v>
      </c>
      <c r="E14" s="2"/>
    </row>
    <row r="15" spans="1:5" x14ac:dyDescent="0.2">
      <c r="A15" t="s">
        <v>890</v>
      </c>
      <c r="C15" s="2"/>
      <c r="D15" s="34">
        <v>213</v>
      </c>
      <c r="E15" s="2"/>
    </row>
    <row r="16" spans="1:5" x14ac:dyDescent="0.2">
      <c r="A16" t="s">
        <v>891</v>
      </c>
      <c r="C16" s="2"/>
      <c r="D16" s="33" t="e">
        <f>'New Daily Lab Data'!K13</f>
        <v>#DIV/0!</v>
      </c>
      <c r="E16" s="2"/>
    </row>
    <row r="17" spans="1:12" x14ac:dyDescent="0.2">
      <c r="C17" s="2"/>
      <c r="D17" s="2"/>
      <c r="E17" s="2"/>
    </row>
    <row r="18" spans="1:12" x14ac:dyDescent="0.2">
      <c r="A18" t="s">
        <v>892</v>
      </c>
      <c r="C18" s="2"/>
      <c r="D18" s="35">
        <f>'New Daily Lab Data'!O80</f>
        <v>0</v>
      </c>
      <c r="E18" s="2"/>
    </row>
    <row r="19" spans="1:12" x14ac:dyDescent="0.2">
      <c r="A19" t="s">
        <v>893</v>
      </c>
      <c r="C19" s="2"/>
      <c r="D19" s="35">
        <f>'New Daily Lab Data'!Q80</f>
        <v>0</v>
      </c>
      <c r="E19" s="2"/>
    </row>
    <row r="21" spans="1:12" x14ac:dyDescent="0.2">
      <c r="A21" s="2" t="s">
        <v>894</v>
      </c>
    </row>
    <row r="23" spans="1:12" x14ac:dyDescent="0.2">
      <c r="A23" t="s">
        <v>895</v>
      </c>
      <c r="E23" t="s">
        <v>896</v>
      </c>
      <c r="J23" t="s">
        <v>897</v>
      </c>
    </row>
    <row r="24" spans="1:12" x14ac:dyDescent="0.2">
      <c r="A24" s="16" t="s">
        <v>2091</v>
      </c>
      <c r="B24" s="16" t="s">
        <v>898</v>
      </c>
      <c r="D24" s="16" t="s">
        <v>899</v>
      </c>
      <c r="E24" s="16" t="s">
        <v>900</v>
      </c>
      <c r="F24" s="16" t="s">
        <v>901</v>
      </c>
      <c r="G24" s="16" t="s">
        <v>902</v>
      </c>
      <c r="I24" s="16" t="s">
        <v>903</v>
      </c>
      <c r="J24" s="16" t="s">
        <v>2089</v>
      </c>
      <c r="K24" s="16" t="s">
        <v>904</v>
      </c>
      <c r="L24" s="16" t="s">
        <v>905</v>
      </c>
    </row>
    <row r="25" spans="1:12" x14ac:dyDescent="0.2">
      <c r="A25" s="36" t="e">
        <f>'New Daily Lab Data'!X13</f>
        <v>#DIV/0!</v>
      </c>
      <c r="B25" s="37" t="e">
        <f>'New Daily Lab Data'!Y13</f>
        <v>#DIV/0!</v>
      </c>
      <c r="D25" s="38" t="e">
        <f>'New Daily Lab Data'!Z13</f>
        <v>#DIV/0!</v>
      </c>
      <c r="E25" s="38" t="e">
        <f>'New Daily Lab Data'!AA13</f>
        <v>#DIV/0!</v>
      </c>
      <c r="F25" s="38" t="e">
        <f>'New Daily Lab Data'!AB13</f>
        <v>#DIV/0!</v>
      </c>
      <c r="G25" s="21"/>
      <c r="I25" s="21">
        <f>'New Daily Lab Data'!U80</f>
        <v>0</v>
      </c>
      <c r="J25" s="21">
        <f>'New Daily Lab Data'!V80</f>
        <v>0</v>
      </c>
      <c r="K25" s="21">
        <f>'New Daily Lab Data'!W80</f>
        <v>0</v>
      </c>
      <c r="L25" s="21">
        <f>'New Daily Lab Data'!X80</f>
        <v>0</v>
      </c>
    </row>
    <row r="27" spans="1:12" x14ac:dyDescent="0.2">
      <c r="A27" t="s">
        <v>906</v>
      </c>
      <c r="F27" t="s">
        <v>907</v>
      </c>
      <c r="J27" t="s">
        <v>908</v>
      </c>
    </row>
    <row r="28" spans="1:12" x14ac:dyDescent="0.2">
      <c r="A28" t="s">
        <v>909</v>
      </c>
      <c r="B28" t="s">
        <v>910</v>
      </c>
      <c r="E28" s="16" t="s">
        <v>911</v>
      </c>
      <c r="F28" s="16" t="s">
        <v>899</v>
      </c>
      <c r="G28" s="16" t="s">
        <v>900</v>
      </c>
      <c r="J28" t="s">
        <v>912</v>
      </c>
    </row>
    <row r="29" spans="1:12" x14ac:dyDescent="0.2">
      <c r="A29" s="39" t="s">
        <v>789</v>
      </c>
      <c r="B29" s="34">
        <f>'New Daily Lab Data'!AC6</f>
        <v>0</v>
      </c>
      <c r="D29" t="s">
        <v>913</v>
      </c>
      <c r="E29" s="21">
        <f>'New Daily Lab Data'!R80</f>
        <v>0</v>
      </c>
      <c r="F29" s="21">
        <f>'New Daily Lab Data'!S80</f>
        <v>0</v>
      </c>
      <c r="G29" s="21">
        <f>'New Daily Lab Data'!P80</f>
        <v>0</v>
      </c>
      <c r="I29" s="16" t="s">
        <v>914</v>
      </c>
      <c r="J29" s="16"/>
      <c r="K29" s="16" t="s">
        <v>915</v>
      </c>
    </row>
    <row r="30" spans="1:12" x14ac:dyDescent="0.2">
      <c r="A30" s="39" t="s">
        <v>183</v>
      </c>
      <c r="B30" s="34">
        <f>'New Daily Lab Data'!AC8</f>
        <v>0</v>
      </c>
      <c r="D30" t="s">
        <v>916</v>
      </c>
      <c r="E30" s="40"/>
      <c r="F30" s="40">
        <f>G30</f>
        <v>0</v>
      </c>
      <c r="G30" s="36">
        <f>'New Daily Lab Data'!D80</f>
        <v>0</v>
      </c>
      <c r="I30" s="38">
        <f>'New Daily Lab Data'!B26</f>
        <v>0</v>
      </c>
      <c r="K30" s="38">
        <f>'New Daily Lab Data'!C26</f>
        <v>0</v>
      </c>
    </row>
    <row r="31" spans="1:12" x14ac:dyDescent="0.2">
      <c r="A31" s="39">
        <v>1800</v>
      </c>
      <c r="B31" s="34">
        <f>'New Daily Lab Data'!AC10</f>
        <v>0</v>
      </c>
      <c r="J31" t="s">
        <v>917</v>
      </c>
    </row>
    <row r="32" spans="1:12" x14ac:dyDescent="0.2">
      <c r="A32" s="39" t="s">
        <v>184</v>
      </c>
      <c r="B32" s="34">
        <f>'New Daily Lab Data'!AC12</f>
        <v>0</v>
      </c>
      <c r="J32" s="16" t="s">
        <v>918</v>
      </c>
    </row>
    <row r="33" spans="1:10" x14ac:dyDescent="0.2">
      <c r="E33" t="s">
        <v>919</v>
      </c>
      <c r="J33" s="37">
        <f>'New Daily Lab Data'!C162</f>
        <v>1.2876230442805059</v>
      </c>
    </row>
    <row r="34" spans="1:10" x14ac:dyDescent="0.2">
      <c r="D34" t="s">
        <v>920</v>
      </c>
      <c r="F34" s="16" t="s">
        <v>921</v>
      </c>
    </row>
    <row r="35" spans="1:10" x14ac:dyDescent="0.2">
      <c r="D35" s="41">
        <f>'New Daily Lab Data'!D26</f>
        <v>0</v>
      </c>
      <c r="F35" s="41">
        <f>'New Daily Lab Data'!E26</f>
        <v>0</v>
      </c>
    </row>
    <row r="36" spans="1:10" x14ac:dyDescent="0.2">
      <c r="D36" s="16" t="s">
        <v>922</v>
      </c>
      <c r="E36" t="s">
        <v>923</v>
      </c>
    </row>
    <row r="37" spans="1:10" x14ac:dyDescent="0.2">
      <c r="D37" s="16" t="s">
        <v>924</v>
      </c>
      <c r="E37" s="16" t="s">
        <v>925</v>
      </c>
    </row>
    <row r="38" spans="1:10" x14ac:dyDescent="0.2">
      <c r="D38" s="41">
        <f>'New Daily Lab Data'!H80</f>
        <v>0</v>
      </c>
      <c r="E38" s="41" t="e">
        <f>AVERAGE('New Daily Lab Data'!B76:C76)</f>
        <v>#DIV/0!</v>
      </c>
      <c r="F38" s="42"/>
    </row>
    <row r="40" spans="1:10" x14ac:dyDescent="0.2">
      <c r="A40" s="2" t="s">
        <v>926</v>
      </c>
    </row>
    <row r="42" spans="1:10" x14ac:dyDescent="0.2">
      <c r="A42" t="s">
        <v>927</v>
      </c>
      <c r="C42" t="s">
        <v>928</v>
      </c>
      <c r="E42" t="s">
        <v>928</v>
      </c>
      <c r="H42" t="s">
        <v>929</v>
      </c>
    </row>
    <row r="43" spans="1:10" x14ac:dyDescent="0.2">
      <c r="A43" t="s">
        <v>2091</v>
      </c>
      <c r="B43" t="s">
        <v>898</v>
      </c>
      <c r="C43" t="s">
        <v>2091</v>
      </c>
      <c r="D43" t="s">
        <v>898</v>
      </c>
      <c r="E43" t="s">
        <v>2091</v>
      </c>
      <c r="F43" t="s">
        <v>898</v>
      </c>
      <c r="H43" t="s">
        <v>2091</v>
      </c>
      <c r="I43" t="s">
        <v>898</v>
      </c>
    </row>
    <row r="44" spans="1:10" x14ac:dyDescent="0.2">
      <c r="A44" s="36" t="e">
        <f>'New Daily Lab Data'!L13</f>
        <v>#DIV/0!</v>
      </c>
      <c r="B44" s="37" t="e">
        <f>'New Daily Lab Data'!M13</f>
        <v>#DIV/0!</v>
      </c>
      <c r="C44" s="36" t="e">
        <f>'New Daily Lab Data'!AF13</f>
        <v>#DIV/0!</v>
      </c>
      <c r="D44" s="37" t="e">
        <f>'New Daily Lab Data'!AH13</f>
        <v>#DIV/0!</v>
      </c>
      <c r="E44" s="36" t="e">
        <f>C44</f>
        <v>#DIV/0!</v>
      </c>
      <c r="F44" s="37" t="e">
        <f>D44</f>
        <v>#DIV/0!</v>
      </c>
      <c r="G44" s="16"/>
      <c r="H44" s="36" t="e">
        <f>'New Daily Lab Data'!V13</f>
        <v>#DIV/0!</v>
      </c>
      <c r="I44" s="37" t="e">
        <f>'New Daily Lab Data'!W13</f>
        <v>#DIV/0!</v>
      </c>
    </row>
    <row r="46" spans="1:10" x14ac:dyDescent="0.2">
      <c r="C46" t="s">
        <v>930</v>
      </c>
      <c r="D46" t="s">
        <v>931</v>
      </c>
      <c r="I46" t="s">
        <v>932</v>
      </c>
    </row>
    <row r="47" spans="1:10" x14ac:dyDescent="0.2">
      <c r="B47" s="1" t="s">
        <v>933</v>
      </c>
      <c r="C47" s="21">
        <f>'New Daily Lab Data'!F80</f>
        <v>0</v>
      </c>
      <c r="D47" s="21">
        <f>'New Daily Lab Data'!I80</f>
        <v>0</v>
      </c>
      <c r="H47" s="1" t="s">
        <v>934</v>
      </c>
      <c r="I47" s="38" t="e">
        <f>AVERAGE('New Daily Lab Data'!J80:K80)</f>
        <v>#DIV/0!</v>
      </c>
    </row>
    <row r="48" spans="1:10" x14ac:dyDescent="0.2">
      <c r="B48" s="1" t="s">
        <v>935</v>
      </c>
      <c r="C48" s="21">
        <f>'New Daily Lab Data'!G80</f>
        <v>0</v>
      </c>
      <c r="D48" s="21"/>
      <c r="H48" t="s">
        <v>936</v>
      </c>
      <c r="I48" s="38">
        <f>'New Daily Lab Data'!L80</f>
        <v>0</v>
      </c>
    </row>
    <row r="49" spans="1:10" x14ac:dyDescent="0.2">
      <c r="C49" s="16"/>
      <c r="D49" s="16"/>
    </row>
    <row r="50" spans="1:10" x14ac:dyDescent="0.2">
      <c r="B50" s="1" t="s">
        <v>937</v>
      </c>
      <c r="C50" s="21">
        <f>'New Daily Lab Data'!E80</f>
        <v>0</v>
      </c>
      <c r="H50" t="s">
        <v>938</v>
      </c>
    </row>
    <row r="51" spans="1:10" x14ac:dyDescent="0.2">
      <c r="H51" t="s">
        <v>939</v>
      </c>
      <c r="J51" t="s">
        <v>940</v>
      </c>
    </row>
    <row r="52" spans="1:10" x14ac:dyDescent="0.2">
      <c r="B52" s="1" t="s">
        <v>941</v>
      </c>
      <c r="C52" s="38">
        <f>'New Daily Lab Data'!G26</f>
        <v>0</v>
      </c>
      <c r="D52" s="16"/>
      <c r="E52" s="1" t="s">
        <v>942</v>
      </c>
      <c r="F52" s="38">
        <f>'New Daily Lab Data'!F26</f>
        <v>0</v>
      </c>
      <c r="G52" t="s">
        <v>943</v>
      </c>
      <c r="H52" s="21">
        <f>'New Daily Lab Data'!M80</f>
        <v>0</v>
      </c>
      <c r="I52" s="16"/>
      <c r="J52" s="21">
        <f>'New Daily Lab Data'!N80</f>
        <v>0</v>
      </c>
    </row>
    <row r="53" spans="1:10" x14ac:dyDescent="0.2">
      <c r="G53" t="s">
        <v>944</v>
      </c>
      <c r="H53" s="16"/>
      <c r="I53" s="16"/>
      <c r="J53" s="21">
        <f>'New Daily Lab Data'!T80</f>
        <v>0</v>
      </c>
    </row>
    <row r="55" spans="1:10" x14ac:dyDescent="0.2">
      <c r="A55" s="2" t="s">
        <v>945</v>
      </c>
    </row>
    <row r="57" spans="1:10" x14ac:dyDescent="0.2">
      <c r="D57" t="s">
        <v>946</v>
      </c>
    </row>
    <row r="58" spans="1:10" x14ac:dyDescent="0.2">
      <c r="B58" s="43" t="s">
        <v>947</v>
      </c>
      <c r="C58" s="43" t="s">
        <v>948</v>
      </c>
      <c r="D58" s="43" t="s">
        <v>949</v>
      </c>
      <c r="E58" s="43" t="s">
        <v>950</v>
      </c>
      <c r="F58" s="43" t="s">
        <v>951</v>
      </c>
      <c r="G58" s="43" t="s">
        <v>898</v>
      </c>
      <c r="H58" s="43" t="s">
        <v>916</v>
      </c>
      <c r="I58" s="43" t="s">
        <v>952</v>
      </c>
    </row>
    <row r="59" spans="1:10" x14ac:dyDescent="0.2">
      <c r="A59" t="s">
        <v>849</v>
      </c>
      <c r="B59" s="21">
        <f>'New Daily Lab Data'!D84</f>
        <v>0</v>
      </c>
      <c r="C59" s="21">
        <f>'New Daily Lab Data'!E84</f>
        <v>0</v>
      </c>
      <c r="D59" s="21">
        <f>'New Daily Lab Data'!F84</f>
        <v>0</v>
      </c>
      <c r="E59" s="21"/>
      <c r="F59" s="21">
        <f>'New Daily Lab Data'!I84</f>
        <v>0</v>
      </c>
      <c r="G59" s="21">
        <f>'New Daily Lab Data'!G84</f>
        <v>0</v>
      </c>
      <c r="H59" s="26"/>
      <c r="I59" s="44">
        <f>'New Daily Lab Data'!K84</f>
        <v>0</v>
      </c>
    </row>
    <row r="60" spans="1:10" x14ac:dyDescent="0.2">
      <c r="A60" t="s">
        <v>851</v>
      </c>
      <c r="B60" s="21">
        <f>'New Daily Lab Data'!D88</f>
        <v>0</v>
      </c>
      <c r="C60" s="21">
        <f>'New Daily Lab Data'!E88</f>
        <v>0</v>
      </c>
      <c r="D60" s="21">
        <f>'New Daily Lab Data'!F88</f>
        <v>0</v>
      </c>
      <c r="E60" s="21"/>
      <c r="F60" s="21">
        <f>'New Daily Lab Data'!I88</f>
        <v>0</v>
      </c>
      <c r="G60" s="21">
        <f>'New Daily Lab Data'!G88</f>
        <v>0</v>
      </c>
      <c r="H60" s="26"/>
      <c r="I60" s="44">
        <f>'New Daily Lab Data'!K88</f>
        <v>0</v>
      </c>
    </row>
    <row r="62" spans="1:10" x14ac:dyDescent="0.2">
      <c r="A62" s="2" t="s">
        <v>953</v>
      </c>
    </row>
    <row r="64" spans="1:10" x14ac:dyDescent="0.2">
      <c r="B64" t="s">
        <v>954</v>
      </c>
    </row>
    <row r="65" spans="1:6" x14ac:dyDescent="0.2">
      <c r="A65" t="s">
        <v>955</v>
      </c>
      <c r="C65" t="s">
        <v>956</v>
      </c>
      <c r="E65" t="s">
        <v>957</v>
      </c>
    </row>
    <row r="66" spans="1:6" x14ac:dyDescent="0.2">
      <c r="A66" s="36">
        <f>'New Daily Lab Data'!AH76</f>
        <v>0</v>
      </c>
      <c r="B66" s="16"/>
      <c r="C66" s="36">
        <f>'New Daily Lab Data'!AI76</f>
        <v>0</v>
      </c>
      <c r="D66" s="16"/>
      <c r="E66" s="36">
        <f>'New Daily Lab Data'!AJ76</f>
        <v>0</v>
      </c>
    </row>
    <row r="67" spans="1:6" x14ac:dyDescent="0.2">
      <c r="B67" t="s">
        <v>958</v>
      </c>
    </row>
    <row r="68" spans="1:6" x14ac:dyDescent="0.2">
      <c r="A68" t="s">
        <v>955</v>
      </c>
      <c r="C68" t="s">
        <v>956</v>
      </c>
      <c r="E68" t="s">
        <v>957</v>
      </c>
    </row>
    <row r="69" spans="1:6" x14ac:dyDescent="0.2">
      <c r="A69" s="37" t="e">
        <f>AVERAGE('New Daily Lab Data'!D76,'New Daily Lab Data'!G76)</f>
        <v>#DIV/0!</v>
      </c>
      <c r="B69" s="16"/>
      <c r="C69" s="37" t="e">
        <f>AVERAGE('New Daily Lab Data'!E76,'New Daily Lab Data'!H76)</f>
        <v>#DIV/0!</v>
      </c>
      <c r="D69" s="16"/>
      <c r="E69" s="37" t="e">
        <f>AVERAGE('New Daily Lab Data'!F76,'New Daily Lab Data'!I76)</f>
        <v>#DIV/0!</v>
      </c>
    </row>
    <row r="70" spans="1:6" x14ac:dyDescent="0.2">
      <c r="B70" t="s">
        <v>959</v>
      </c>
    </row>
    <row r="71" spans="1:6" x14ac:dyDescent="0.2">
      <c r="A71" t="s">
        <v>2256</v>
      </c>
      <c r="C71" t="s">
        <v>2257</v>
      </c>
      <c r="E71" t="s">
        <v>2258</v>
      </c>
    </row>
    <row r="72" spans="1:6" x14ac:dyDescent="0.2">
      <c r="A72" s="38" t="e">
        <f>AVERAGE('New Daily Lab Data'!J76,'New Daily Lab Data'!M76)</f>
        <v>#DIV/0!</v>
      </c>
      <c r="B72" s="16"/>
      <c r="C72" s="38" t="e">
        <f>AVERAGE('New Daily Lab Data'!K76,'New Daily Lab Data'!N76)</f>
        <v>#DIV/0!</v>
      </c>
      <c r="D72" s="16"/>
      <c r="E72" s="38" t="e">
        <f>AVERAGE('New Daily Lab Data'!L75,'New Daily Lab Data'!O76)</f>
        <v>#DIV/0!</v>
      </c>
    </row>
    <row r="73" spans="1:6" x14ac:dyDescent="0.2">
      <c r="B73" t="s">
        <v>960</v>
      </c>
    </row>
    <row r="74" spans="1:6" x14ac:dyDescent="0.2">
      <c r="B74" s="16" t="s">
        <v>2256</v>
      </c>
      <c r="C74" s="16"/>
      <c r="D74" s="16" t="s">
        <v>2257</v>
      </c>
      <c r="E74" s="16"/>
      <c r="F74" s="16" t="s">
        <v>2258</v>
      </c>
    </row>
    <row r="75" spans="1:6" x14ac:dyDescent="0.2">
      <c r="A75" t="s">
        <v>961</v>
      </c>
      <c r="B75" s="38" t="e">
        <f>AVERAGE('New Daily Lab Data'!P76,'New Daily Lab Data'!S76)</f>
        <v>#DIV/0!</v>
      </c>
      <c r="C75" s="16"/>
      <c r="D75" s="38" t="e">
        <f>AVERAGE('New Daily Lab Data'!Q76,'New Daily Lab Data'!T76)</f>
        <v>#DIV/0!</v>
      </c>
      <c r="E75" s="16"/>
      <c r="F75" s="38" t="e">
        <f>AVERAGE('New Daily Lab Data'!R76,'New Daily Lab Data'!U76)</f>
        <v>#DIV/0!</v>
      </c>
    </row>
    <row r="76" spans="1:6" x14ac:dyDescent="0.2">
      <c r="A76" t="s">
        <v>962</v>
      </c>
      <c r="B76" s="37" t="e">
        <f>AVERAGE('New Daily Lab Data'!V76,'New Daily Lab Data'!Y76)</f>
        <v>#DIV/0!</v>
      </c>
      <c r="C76" s="16"/>
      <c r="D76" s="37" t="e">
        <f>AVERAGE('New Daily Lab Data'!W76,'New Daily Lab Data'!Z76)</f>
        <v>#DIV/0!</v>
      </c>
      <c r="E76" s="16"/>
      <c r="F76" s="37" t="e">
        <f>AVERAGE('New Daily Lab Data'!X76,'New Daily Lab Data'!AA76)</f>
        <v>#DIV/0!</v>
      </c>
    </row>
    <row r="77" spans="1:6" x14ac:dyDescent="0.2">
      <c r="A77" t="s">
        <v>963</v>
      </c>
      <c r="B77" s="37" t="e">
        <f>AVERAGE('New Daily Lab Data'!AB76,'New Daily Lab Data'!AE76)</f>
        <v>#DIV/0!</v>
      </c>
      <c r="C77" s="16"/>
      <c r="D77" s="37" t="e">
        <f>AVERAGE('New Daily Lab Data'!AC76,'New Daily Lab Data'!AF76)</f>
        <v>#DIV/0!</v>
      </c>
      <c r="E77" s="16"/>
      <c r="F77" s="37" t="e">
        <f>AVERAGE('New Daily Lab Data'!AD76,'New Daily Lab Data'!AG76)</f>
        <v>#DIV/0!</v>
      </c>
    </row>
    <row r="79" spans="1:6" x14ac:dyDescent="0.2">
      <c r="A79" s="2" t="s">
        <v>964</v>
      </c>
      <c r="E79" s="45" t="s">
        <v>965</v>
      </c>
    </row>
    <row r="81" spans="1:10" x14ac:dyDescent="0.2">
      <c r="A81" t="s">
        <v>792</v>
      </c>
      <c r="B81" s="35">
        <f>'New Daily Lab Data'!C17</f>
        <v>0</v>
      </c>
      <c r="E81" s="46" t="s">
        <v>966</v>
      </c>
      <c r="F81" s="19"/>
      <c r="I81" s="46" t="s">
        <v>967</v>
      </c>
      <c r="J81" s="19"/>
    </row>
    <row r="82" spans="1:10" x14ac:dyDescent="0.2">
      <c r="A82" s="39" t="s">
        <v>947</v>
      </c>
      <c r="B82" s="34">
        <f>'New Daily Lab Data'!D17</f>
        <v>0</v>
      </c>
      <c r="E82" s="39" t="s">
        <v>947</v>
      </c>
      <c r="F82" s="34">
        <f>'New Daily Lab Data'!C21</f>
        <v>0</v>
      </c>
      <c r="I82" s="39" t="s">
        <v>968</v>
      </c>
      <c r="J82" s="33">
        <f>'New Daily Lab Data'!L21</f>
        <v>0</v>
      </c>
    </row>
    <row r="83" spans="1:10" x14ac:dyDescent="0.2">
      <c r="A83" s="39" t="s">
        <v>948</v>
      </c>
      <c r="B83" s="34">
        <f>'New Daily Lab Data'!E17</f>
        <v>0</v>
      </c>
      <c r="E83" s="39" t="s">
        <v>948</v>
      </c>
      <c r="F83" s="34">
        <f>'New Daily Lab Data'!D21</f>
        <v>0</v>
      </c>
      <c r="I83" s="39" t="s">
        <v>969</v>
      </c>
      <c r="J83" s="2" t="e">
        <f>'New Daily Lab Data'!D29</f>
        <v>#DIV/0!</v>
      </c>
    </row>
    <row r="84" spans="1:10" x14ac:dyDescent="0.2">
      <c r="A84" s="39" t="s">
        <v>949</v>
      </c>
      <c r="B84" s="34">
        <f>'New Daily Lab Data'!F17</f>
        <v>0</v>
      </c>
      <c r="E84" s="39" t="s">
        <v>949</v>
      </c>
      <c r="F84" s="34">
        <f>'New Daily Lab Data'!E21</f>
        <v>0</v>
      </c>
      <c r="I84" s="39" t="s">
        <v>970</v>
      </c>
      <c r="J84" s="33" t="e">
        <f>'New Daily Lab Data'!E29</f>
        <v>#DIV/0!</v>
      </c>
    </row>
    <row r="85" spans="1:10" x14ac:dyDescent="0.2">
      <c r="A85" s="39" t="s">
        <v>971</v>
      </c>
      <c r="B85" s="34">
        <f>'New Daily Lab Data'!G17</f>
        <v>0</v>
      </c>
      <c r="E85" s="39" t="s">
        <v>972</v>
      </c>
      <c r="F85" s="33">
        <f>'New Daily Lab Data'!F21</f>
        <v>0</v>
      </c>
    </row>
    <row r="86" spans="1:10" x14ac:dyDescent="0.2">
      <c r="A86" s="39" t="s">
        <v>972</v>
      </c>
      <c r="B86" s="33">
        <f>'New Daily Lab Data'!H17</f>
        <v>0</v>
      </c>
      <c r="E86" s="39" t="s">
        <v>973</v>
      </c>
      <c r="F86" s="33">
        <f>'New Daily Lab Data'!G21</f>
        <v>0</v>
      </c>
    </row>
    <row r="87" spans="1:10" x14ac:dyDescent="0.2">
      <c r="A87" s="39" t="s">
        <v>973</v>
      </c>
      <c r="B87" s="33">
        <f>'New Daily Lab Data'!I17</f>
        <v>0</v>
      </c>
      <c r="E87" s="39" t="s">
        <v>974</v>
      </c>
      <c r="F87" s="2">
        <f>'New Daily Lab Data'!H21</f>
        <v>0</v>
      </c>
    </row>
    <row r="88" spans="1:10" x14ac:dyDescent="0.2">
      <c r="A88" s="39" t="s">
        <v>974</v>
      </c>
      <c r="B88" s="35">
        <f>'New Daily Lab Data'!J17</f>
        <v>0</v>
      </c>
      <c r="E88" s="39" t="s">
        <v>925</v>
      </c>
      <c r="F88" s="33">
        <f>'New Daily Lab Data'!I21</f>
        <v>0</v>
      </c>
    </row>
    <row r="89" spans="1:10" x14ac:dyDescent="0.2">
      <c r="A89" s="39" t="s">
        <v>925</v>
      </c>
      <c r="B89" s="33">
        <f>'New Daily Lab Data'!K17</f>
        <v>0</v>
      </c>
      <c r="E89" s="39" t="s">
        <v>975</v>
      </c>
      <c r="F89" s="2">
        <f>'New Daily Lab Data'!J21</f>
        <v>0</v>
      </c>
    </row>
    <row r="90" spans="1:10" x14ac:dyDescent="0.2">
      <c r="A90" s="39" t="s">
        <v>975</v>
      </c>
      <c r="B90" s="47">
        <f>'New Daily Lab Data'!L17</f>
        <v>0</v>
      </c>
      <c r="E90" s="39" t="s">
        <v>976</v>
      </c>
      <c r="F90" s="33">
        <f>'New Daily Lab Data'!K21</f>
        <v>0</v>
      </c>
    </row>
    <row r="91" spans="1:10" x14ac:dyDescent="0.2">
      <c r="A91" s="39" t="s">
        <v>976</v>
      </c>
      <c r="B91" s="33">
        <f>'New Daily Lab Data'!M17</f>
        <v>0</v>
      </c>
      <c r="E91" s="39" t="s">
        <v>977</v>
      </c>
      <c r="F91" s="48">
        <f>F85*1.4</f>
        <v>0</v>
      </c>
    </row>
    <row r="92" spans="1:10" x14ac:dyDescent="0.2">
      <c r="E92" s="39" t="s">
        <v>978</v>
      </c>
      <c r="F92" s="48">
        <f>F86*0.93</f>
        <v>0</v>
      </c>
    </row>
    <row r="93" spans="1:10" x14ac:dyDescent="0.2">
      <c r="E93" s="39" t="s">
        <v>979</v>
      </c>
      <c r="F93" s="49">
        <f>F87*0.88</f>
        <v>0</v>
      </c>
    </row>
    <row r="94" spans="1:10" x14ac:dyDescent="0.2">
      <c r="A94" s="45" t="s">
        <v>980</v>
      </c>
    </row>
    <row r="96" spans="1:10" x14ac:dyDescent="0.2">
      <c r="A96" t="s">
        <v>981</v>
      </c>
      <c r="C96" s="16" t="s">
        <v>969</v>
      </c>
      <c r="D96" s="16" t="s">
        <v>970</v>
      </c>
    </row>
    <row r="97" spans="1:10" x14ac:dyDescent="0.2">
      <c r="A97" s="2">
        <f>'New Daily Lab Data'!C32</f>
        <v>0</v>
      </c>
      <c r="C97" s="21" t="e">
        <f>'New Daily Lab Data'!D29</f>
        <v>#DIV/0!</v>
      </c>
      <c r="D97" s="37" t="e">
        <f>'New Daily Lab Data'!E29</f>
        <v>#DIV/0!</v>
      </c>
    </row>
    <row r="99" spans="1:10" x14ac:dyDescent="0.2">
      <c r="A99" s="2" t="s">
        <v>982</v>
      </c>
    </row>
    <row r="101" spans="1:10" x14ac:dyDescent="0.2">
      <c r="A101" t="s">
        <v>853</v>
      </c>
      <c r="B101" t="s">
        <v>983</v>
      </c>
      <c r="C101" s="34" t="e">
        <f>'New Daily Lab Data'!R13</f>
        <v>#DIV/0!</v>
      </c>
      <c r="E101" t="s">
        <v>855</v>
      </c>
      <c r="F101" t="s">
        <v>983</v>
      </c>
      <c r="G101" s="34" t="e">
        <f>'New Daily Lab Data'!AM13</f>
        <v>#DIV/0!</v>
      </c>
    </row>
    <row r="102" spans="1:10" x14ac:dyDescent="0.2">
      <c r="A102" t="s">
        <v>853</v>
      </c>
      <c r="B102" t="s">
        <v>898</v>
      </c>
      <c r="C102" s="33" t="e">
        <f>'New Daily Lab Data'!S13</f>
        <v>#DIV/0!</v>
      </c>
      <c r="E102" t="s">
        <v>855</v>
      </c>
      <c r="F102" t="s">
        <v>898</v>
      </c>
      <c r="G102" s="33" t="e">
        <f>'New Daily Lab Data'!AO13</f>
        <v>#DIV/0!</v>
      </c>
    </row>
    <row r="103" spans="1:10" x14ac:dyDescent="0.2">
      <c r="A103" t="s">
        <v>984</v>
      </c>
      <c r="B103" t="s">
        <v>983</v>
      </c>
      <c r="C103" s="34" t="e">
        <f>'New Daily Lab Data'!T13</f>
        <v>#DIV/0!</v>
      </c>
      <c r="E103" t="s">
        <v>862</v>
      </c>
      <c r="F103" t="s">
        <v>983</v>
      </c>
      <c r="G103" s="34" t="e">
        <f>'New Daily Lab Data'!AN13</f>
        <v>#DIV/0!</v>
      </c>
    </row>
    <row r="104" spans="1:10" x14ac:dyDescent="0.2">
      <c r="A104" t="s">
        <v>984</v>
      </c>
      <c r="B104" t="s">
        <v>898</v>
      </c>
      <c r="C104" s="33" t="e">
        <f>'New Daily Lab Data'!U13</f>
        <v>#DIV/0!</v>
      </c>
      <c r="E104" t="s">
        <v>862</v>
      </c>
      <c r="F104" t="s">
        <v>898</v>
      </c>
      <c r="G104" s="33" t="e">
        <f>'New Daily Lab Data'!AP13</f>
        <v>#DIV/0!</v>
      </c>
    </row>
    <row r="105" spans="1:10" x14ac:dyDescent="0.2">
      <c r="A105" t="s">
        <v>985</v>
      </c>
      <c r="B105" t="s">
        <v>983</v>
      </c>
      <c r="C105" s="34" t="e">
        <f>'New Daily Lab Data'!N13</f>
        <v>#DIV/0!</v>
      </c>
      <c r="E105" s="1" t="s">
        <v>986</v>
      </c>
      <c r="F105" t="s">
        <v>983</v>
      </c>
      <c r="G105" s="34" t="e">
        <f>'New Daily Lab Data'!AI13</f>
        <v>#DIV/0!</v>
      </c>
    </row>
    <row r="106" spans="1:10" x14ac:dyDescent="0.2">
      <c r="A106" t="s">
        <v>985</v>
      </c>
      <c r="B106" t="s">
        <v>898</v>
      </c>
      <c r="C106" s="33" t="e">
        <f>'New Daily Lab Data'!O13</f>
        <v>#DIV/0!</v>
      </c>
      <c r="E106" s="1" t="s">
        <v>986</v>
      </c>
      <c r="F106" t="s">
        <v>898</v>
      </c>
      <c r="G106" s="33" t="e">
        <f>'New Daily Lab Data'!AJ13</f>
        <v>#DIV/0!</v>
      </c>
    </row>
    <row r="107" spans="1:10" x14ac:dyDescent="0.2">
      <c r="A107" t="s">
        <v>987</v>
      </c>
      <c r="B107" t="s">
        <v>983</v>
      </c>
      <c r="C107" s="34" t="e">
        <f>'New Daily Lab Data'!P13</f>
        <v>#DIV/0!</v>
      </c>
      <c r="E107" s="1" t="s">
        <v>988</v>
      </c>
      <c r="F107" t="s">
        <v>983</v>
      </c>
      <c r="G107" s="34" t="e">
        <f>'New Daily Lab Data'!AK13</f>
        <v>#DIV/0!</v>
      </c>
    </row>
    <row r="108" spans="1:10" x14ac:dyDescent="0.2">
      <c r="A108" t="s">
        <v>987</v>
      </c>
      <c r="B108" t="s">
        <v>898</v>
      </c>
      <c r="C108" s="33" t="e">
        <f>'New Daily Lab Data'!Q13</f>
        <v>#DIV/0!</v>
      </c>
      <c r="E108" s="1" t="s">
        <v>988</v>
      </c>
      <c r="F108" t="s">
        <v>898</v>
      </c>
      <c r="G108" s="33" t="e">
        <f>'New Daily Lab Data'!AL13</f>
        <v>#DIV/0!</v>
      </c>
    </row>
    <row r="110" spans="1:10" x14ac:dyDescent="0.2">
      <c r="C110" s="43" t="s">
        <v>947</v>
      </c>
      <c r="D110" s="43" t="s">
        <v>948</v>
      </c>
      <c r="E110" s="43" t="s">
        <v>949</v>
      </c>
      <c r="F110" s="43" t="s">
        <v>848</v>
      </c>
      <c r="G110" s="43" t="s">
        <v>846</v>
      </c>
      <c r="H110" s="43" t="s">
        <v>898</v>
      </c>
      <c r="I110" s="43" t="s">
        <v>989</v>
      </c>
      <c r="J110" s="43" t="s">
        <v>990</v>
      </c>
    </row>
    <row r="111" spans="1:10" x14ac:dyDescent="0.2">
      <c r="B111" s="1" t="s">
        <v>991</v>
      </c>
      <c r="C111" s="36">
        <f>'New Daily Lab Data'!D84</f>
        <v>0</v>
      </c>
      <c r="D111" s="36">
        <f>'New Daily Lab Data'!E84</f>
        <v>0</v>
      </c>
      <c r="E111" s="36">
        <f>'New Daily Lab Data'!F84</f>
        <v>0</v>
      </c>
      <c r="F111" s="21">
        <f>'New Daily Lab Data'!K84</f>
        <v>0</v>
      </c>
      <c r="G111" s="36">
        <f>'New Daily Lab Data'!I84</f>
        <v>0</v>
      </c>
      <c r="H111" s="37">
        <f>'New Daily Lab Data'!G84</f>
        <v>0</v>
      </c>
      <c r="I111" s="26"/>
      <c r="J111" s="44">
        <f>'New Daily Lab Data'!J84</f>
        <v>0</v>
      </c>
    </row>
    <row r="112" spans="1:10" x14ac:dyDescent="0.2">
      <c r="B112" s="1" t="s">
        <v>992</v>
      </c>
      <c r="C112" s="36">
        <f>'New Daily Lab Data'!D88</f>
        <v>0</v>
      </c>
      <c r="D112" s="36">
        <f>'New Daily Lab Data'!E88</f>
        <v>0</v>
      </c>
      <c r="E112" s="36">
        <f>'New Daily Lab Data'!F88</f>
        <v>0</v>
      </c>
      <c r="F112" s="21">
        <f>'New Daily Lab Data'!K88</f>
        <v>0</v>
      </c>
      <c r="G112" s="36">
        <f>'New Daily Lab Data'!I88</f>
        <v>0</v>
      </c>
      <c r="H112" s="37">
        <f>'New Daily Lab Data'!G88</f>
        <v>0</v>
      </c>
      <c r="I112" s="26"/>
      <c r="J112" s="44">
        <f>'New Daily Lab Data'!J88</f>
        <v>0</v>
      </c>
    </row>
    <row r="113" spans="2:10" x14ac:dyDescent="0.2">
      <c r="B113" s="1" t="s">
        <v>856</v>
      </c>
      <c r="C113" s="36" t="e">
        <f>'New Daily Lab Data'!D99</f>
        <v>#DIV/0!</v>
      </c>
      <c r="D113" s="36" t="e">
        <f>'New Daily Lab Data'!E99</f>
        <v>#DIV/0!</v>
      </c>
      <c r="E113" s="36" t="e">
        <f>'New Daily Lab Data'!F99</f>
        <v>#DIV/0!</v>
      </c>
      <c r="F113" s="21" t="e">
        <f>'New Daily Lab Data'!K99</f>
        <v>#DIV/0!</v>
      </c>
      <c r="G113" s="36" t="e">
        <f>'New Daily Lab Data'!I99</f>
        <v>#DIV/0!</v>
      </c>
      <c r="H113" s="37" t="e">
        <f>'New Daily Lab Data'!G99</f>
        <v>#DIV/0!</v>
      </c>
      <c r="I113" s="21"/>
      <c r="J113" s="44" t="e">
        <f>'New Daily Lab Data'!J99</f>
        <v>#DIV/0!</v>
      </c>
    </row>
    <row r="114" spans="2:10" x14ac:dyDescent="0.2">
      <c r="B114" s="1" t="s">
        <v>859</v>
      </c>
      <c r="C114" s="50" t="e">
        <f>'New Daily Lab Data'!D109</f>
        <v>#DIV/0!</v>
      </c>
      <c r="D114" s="50" t="e">
        <f>'New Daily Lab Data'!E109</f>
        <v>#DIV/0!</v>
      </c>
      <c r="E114" s="50" t="e">
        <f>'New Daily Lab Data'!F109</f>
        <v>#DIV/0!</v>
      </c>
      <c r="F114" s="51" t="e">
        <f>'New Daily Lab Data'!K109</f>
        <v>#DIV/0!</v>
      </c>
      <c r="G114" s="50" t="e">
        <f>'New Daily Lab Data'!I109</f>
        <v>#DIV/0!</v>
      </c>
      <c r="H114" s="52" t="e">
        <f>'New Daily Lab Data'!G109</f>
        <v>#DIV/0!</v>
      </c>
      <c r="I114" s="51"/>
      <c r="J114" s="53" t="e">
        <f>'New Daily Lab Data'!J109</f>
        <v>#DIV/0!</v>
      </c>
    </row>
    <row r="115" spans="2:10" x14ac:dyDescent="0.2">
      <c r="B115" s="1" t="s">
        <v>863</v>
      </c>
      <c r="C115" s="50" t="e">
        <f>'New Daily Lab Data'!D119</f>
        <v>#DIV/0!</v>
      </c>
      <c r="D115" s="50" t="e">
        <f>'New Daily Lab Data'!E119</f>
        <v>#DIV/0!</v>
      </c>
      <c r="E115" s="50" t="e">
        <f>'New Daily Lab Data'!F119</f>
        <v>#DIV/0!</v>
      </c>
      <c r="F115" s="51" t="e">
        <f>'New Daily Lab Data'!K119</f>
        <v>#DIV/0!</v>
      </c>
      <c r="G115" s="50" t="e">
        <f>'New Daily Lab Data'!I119</f>
        <v>#DIV/0!</v>
      </c>
      <c r="H115" s="52" t="e">
        <f>'New Daily Lab Data'!G119</f>
        <v>#DIV/0!</v>
      </c>
      <c r="I115" s="51"/>
      <c r="J115" s="53" t="e">
        <f>'New Daily Lab Data'!J119</f>
        <v>#DIV/0!</v>
      </c>
    </row>
    <row r="116" spans="2:10" x14ac:dyDescent="0.2">
      <c r="B116" s="1" t="s">
        <v>866</v>
      </c>
      <c r="C116" s="36" t="e">
        <f>'New Daily Lab Data'!D129</f>
        <v>#DIV/0!</v>
      </c>
      <c r="D116" s="36" t="e">
        <f>'New Daily Lab Data'!E129</f>
        <v>#DIV/0!</v>
      </c>
      <c r="E116" s="36" t="e">
        <f>'New Daily Lab Data'!F129</f>
        <v>#DIV/0!</v>
      </c>
      <c r="F116" s="21" t="e">
        <f>'New Daily Lab Data'!K129</f>
        <v>#DIV/0!</v>
      </c>
      <c r="G116" s="36" t="e">
        <f>'New Daily Lab Data'!I129</f>
        <v>#DIV/0!</v>
      </c>
      <c r="H116" s="37" t="e">
        <f>'New Daily Lab Data'!G129</f>
        <v>#DIV/0!</v>
      </c>
      <c r="I116" s="21"/>
      <c r="J116" s="44" t="e">
        <f>'New Daily Lab Data'!J129</f>
        <v>#DIV/0!</v>
      </c>
    </row>
    <row r="117" spans="2:10" x14ac:dyDescent="0.2">
      <c r="B117" s="1" t="s">
        <v>869</v>
      </c>
      <c r="C117" s="36" t="e">
        <f>'New Daily Lab Data'!D139</f>
        <v>#DIV/0!</v>
      </c>
      <c r="D117" s="36" t="e">
        <f>'New Daily Lab Data'!E139</f>
        <v>#DIV/0!</v>
      </c>
      <c r="E117" s="36" t="e">
        <f>'New Daily Lab Data'!F139</f>
        <v>#DIV/0!</v>
      </c>
      <c r="F117" s="21" t="e">
        <f>'New Daily Lab Data'!K139</f>
        <v>#DIV/0!</v>
      </c>
      <c r="G117" s="36" t="e">
        <f>'New Daily Lab Data'!I139</f>
        <v>#DIV/0!</v>
      </c>
      <c r="H117" s="37" t="e">
        <f>'New Daily Lab Data'!G139</f>
        <v>#DIV/0!</v>
      </c>
      <c r="I117" s="21"/>
      <c r="J117" s="44" t="e">
        <f>'New Daily Lab Data'!J139</f>
        <v>#DIV/0!</v>
      </c>
    </row>
    <row r="118" spans="2:10" x14ac:dyDescent="0.2">
      <c r="B118" s="1" t="s">
        <v>872</v>
      </c>
      <c r="C118" s="36" t="e">
        <f>'New Daily Lab Data'!D149</f>
        <v>#DIV/0!</v>
      </c>
      <c r="D118" s="36" t="e">
        <f>'New Daily Lab Data'!E149</f>
        <v>#DIV/0!</v>
      </c>
      <c r="E118" s="36" t="e">
        <f>'New Daily Lab Data'!F149</f>
        <v>#DIV/0!</v>
      </c>
      <c r="F118" s="21" t="e">
        <f>'New Daily Lab Data'!K149</f>
        <v>#DIV/0!</v>
      </c>
      <c r="G118" s="36" t="e">
        <f>'New Daily Lab Data'!I149</f>
        <v>#DIV/0!</v>
      </c>
      <c r="H118" s="37" t="e">
        <f>'New Daily Lab Data'!G149</f>
        <v>#DIV/0!</v>
      </c>
      <c r="I118" s="21"/>
      <c r="J118" s="44" t="e">
        <f>'New Daily Lab Data'!J149</f>
        <v>#DIV/0!</v>
      </c>
    </row>
    <row r="119" spans="2:10" x14ac:dyDescent="0.2">
      <c r="B119" s="1" t="s">
        <v>875</v>
      </c>
      <c r="C119" s="36" t="e">
        <f>'New Daily Lab Data'!D159</f>
        <v>#DIV/0!</v>
      </c>
      <c r="D119" s="36" t="e">
        <f>'New Daily Lab Data'!E159</f>
        <v>#DIV/0!</v>
      </c>
      <c r="E119" s="36" t="e">
        <f>'New Daily Lab Data'!F159</f>
        <v>#DIV/0!</v>
      </c>
      <c r="F119" s="21" t="e">
        <f>'New Daily Lab Data'!K159</f>
        <v>#DIV/0!</v>
      </c>
      <c r="G119" s="36" t="e">
        <f>'New Daily Lab Data'!I159</f>
        <v>#DIV/0!</v>
      </c>
      <c r="H119" s="37" t="e">
        <f>'New Daily Lab Data'!G159</f>
        <v>#DIV/0!</v>
      </c>
      <c r="I119" s="21"/>
      <c r="J119" s="44" t="e">
        <f>'New Daily Lab Data'!J159</f>
        <v>#DIV/0!</v>
      </c>
    </row>
  </sheetData>
  <phoneticPr fontId="0" type="noConversion"/>
  <conditionalFormatting sqref="D25">
    <cfRule type="cellIs" dxfId="0" priority="1" stopIfTrue="1" operator="lessThan">
      <formula>$E$25</formula>
    </cfRule>
  </conditionalFormatting>
  <pageMargins left="0.25" right="0.25" top="0.5" bottom="0.5" header="0.5" footer="0.5"/>
  <pageSetup scale="92" fitToHeight="0" orientation="portrait" r:id="rId1"/>
  <headerFooter alignWithMargins="0"/>
  <rowBreaks count="1" manualBreakCount="1">
    <brk id="6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>
                <anchor moveWithCells="1" sizeWithCells="1">
                  <from>
                    <xdr:col>6</xdr:col>
                    <xdr:colOff>38100</xdr:colOff>
                    <xdr:row>1</xdr:row>
                    <xdr:rowOff>180975</xdr:rowOff>
                  </from>
                  <to>
                    <xdr:col>7</xdr:col>
                    <xdr:colOff>228600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P162"/>
  <sheetViews>
    <sheetView workbookViewId="0">
      <selection activeCell="A162" sqref="A162"/>
    </sheetView>
  </sheetViews>
  <sheetFormatPr defaultRowHeight="12.75" x14ac:dyDescent="0.2"/>
  <cols>
    <col min="1" max="1" width="14.5703125" style="12" customWidth="1"/>
    <col min="2" max="3" width="14.7109375" customWidth="1"/>
    <col min="4" max="4" width="14.140625" customWidth="1"/>
    <col min="5" max="5" width="13.42578125" bestFit="1" customWidth="1"/>
    <col min="6" max="6" width="11.42578125" customWidth="1"/>
    <col min="7" max="7" width="14" customWidth="1"/>
    <col min="8" max="8" width="12.28515625" customWidth="1"/>
    <col min="9" max="9" width="11.28515625" customWidth="1"/>
    <col min="10" max="11" width="8.7109375" customWidth="1"/>
    <col min="12" max="12" width="7.28515625" customWidth="1"/>
    <col min="13" max="13" width="9.28515625" customWidth="1"/>
    <col min="14" max="42" width="8.7109375" customWidth="1"/>
    <col min="43" max="43" width="21.7109375" customWidth="1"/>
    <col min="44" max="44" width="21.85546875" customWidth="1"/>
    <col min="45" max="45" width="38.42578125" customWidth="1"/>
    <col min="46" max="46" width="7.28515625" customWidth="1"/>
    <col min="60" max="60" width="13.140625" bestFit="1" customWidth="1"/>
    <col min="61" max="61" width="16.85546875" bestFit="1" customWidth="1"/>
    <col min="62" max="62" width="17.7109375" bestFit="1" customWidth="1"/>
    <col min="63" max="63" width="14.5703125" bestFit="1" customWidth="1"/>
    <col min="64" max="64" width="15.85546875" bestFit="1" customWidth="1"/>
    <col min="65" max="65" width="6" bestFit="1" customWidth="1"/>
    <col min="67" max="67" width="16.5703125" bestFit="1" customWidth="1"/>
  </cols>
  <sheetData>
    <row r="1" spans="1:42" x14ac:dyDescent="0.2">
      <c r="A1" s="12">
        <f>E1+1</f>
        <v>43319</v>
      </c>
      <c r="B1" t="s">
        <v>773</v>
      </c>
      <c r="E1" s="12">
        <f>PrintLogs!G1</f>
        <v>43318</v>
      </c>
      <c r="F1" t="s">
        <v>774</v>
      </c>
      <c r="H1" s="12">
        <f>E1-1</f>
        <v>43317</v>
      </c>
      <c r="I1" t="s">
        <v>775</v>
      </c>
    </row>
    <row r="2" spans="1:42" x14ac:dyDescent="0.2">
      <c r="A2" s="12">
        <f>E1</f>
        <v>43318</v>
      </c>
    </row>
    <row r="3" spans="1:42" x14ac:dyDescent="0.2">
      <c r="A3" s="63" t="s">
        <v>776</v>
      </c>
    </row>
    <row r="4" spans="1:42" x14ac:dyDescent="0.2">
      <c r="A4" s="32" t="s">
        <v>150</v>
      </c>
      <c r="B4" s="2" t="s">
        <v>151</v>
      </c>
      <c r="C4" s="2" t="s">
        <v>152</v>
      </c>
      <c r="D4" s="2" t="s">
        <v>153</v>
      </c>
      <c r="E4" s="2" t="s">
        <v>154</v>
      </c>
      <c r="F4" s="2" t="s">
        <v>155</v>
      </c>
      <c r="G4" s="2" t="s">
        <v>156</v>
      </c>
      <c r="H4" s="2" t="s">
        <v>157</v>
      </c>
      <c r="I4" s="2" t="s">
        <v>158</v>
      </c>
      <c r="J4" s="2" t="s">
        <v>159</v>
      </c>
      <c r="K4" s="2" t="s">
        <v>777</v>
      </c>
      <c r="L4" s="2" t="s">
        <v>160</v>
      </c>
      <c r="M4" s="2" t="s">
        <v>161</v>
      </c>
      <c r="N4" s="2" t="s">
        <v>162</v>
      </c>
      <c r="O4" s="2" t="s">
        <v>163</v>
      </c>
      <c r="P4" s="2" t="s">
        <v>164</v>
      </c>
      <c r="Q4" s="2" t="s">
        <v>165</v>
      </c>
      <c r="R4" s="2" t="s">
        <v>166</v>
      </c>
      <c r="S4" s="2" t="s">
        <v>778</v>
      </c>
      <c r="T4" s="2" t="s">
        <v>167</v>
      </c>
      <c r="U4" s="2" t="s">
        <v>779</v>
      </c>
      <c r="V4" s="2" t="s">
        <v>168</v>
      </c>
      <c r="W4" s="2" t="s">
        <v>780</v>
      </c>
      <c r="X4" s="2" t="s">
        <v>169</v>
      </c>
      <c r="Y4" s="2" t="s">
        <v>781</v>
      </c>
      <c r="Z4" s="2" t="s">
        <v>170</v>
      </c>
      <c r="AA4" s="2" t="s">
        <v>171</v>
      </c>
      <c r="AB4" s="2" t="s">
        <v>172</v>
      </c>
      <c r="AC4" s="2" t="s">
        <v>173</v>
      </c>
      <c r="AD4" s="2" t="s">
        <v>174</v>
      </c>
      <c r="AE4" s="2" t="s">
        <v>175</v>
      </c>
      <c r="AF4" s="2" t="s">
        <v>176</v>
      </c>
      <c r="AG4" s="2" t="s">
        <v>177</v>
      </c>
      <c r="AH4" s="2" t="s">
        <v>178</v>
      </c>
      <c r="AI4" s="2" t="s">
        <v>179</v>
      </c>
      <c r="AJ4" s="2" t="s">
        <v>180</v>
      </c>
      <c r="AK4" s="2" t="s">
        <v>181</v>
      </c>
      <c r="AL4" s="2" t="s">
        <v>182</v>
      </c>
      <c r="AM4" s="2" t="s">
        <v>785</v>
      </c>
      <c r="AN4" s="2" t="s">
        <v>786</v>
      </c>
      <c r="AO4" s="2" t="s">
        <v>787</v>
      </c>
      <c r="AP4" s="2" t="s">
        <v>788</v>
      </c>
    </row>
    <row r="10" spans="1:42" x14ac:dyDescent="0.2">
      <c r="C10" s="6"/>
    </row>
    <row r="12" spans="1:42" x14ac:dyDescent="0.2">
      <c r="D12" s="5"/>
      <c r="E12" s="6"/>
      <c r="L12" s="5"/>
    </row>
    <row r="13" spans="1:42" x14ac:dyDescent="0.2">
      <c r="B13" s="6" t="s">
        <v>807</v>
      </c>
      <c r="C13" s="6" t="e">
        <f t="shared" ref="C13:AP13" si="0">AVERAGE(C5:C12)</f>
        <v>#DIV/0!</v>
      </c>
      <c r="D13" s="5" t="e">
        <f t="shared" si="0"/>
        <v>#DIV/0!</v>
      </c>
      <c r="E13" s="6" t="e">
        <f t="shared" si="0"/>
        <v>#DIV/0!</v>
      </c>
      <c r="F13" s="5" t="e">
        <f t="shared" si="0"/>
        <v>#DIV/0!</v>
      </c>
      <c r="G13" s="6" t="e">
        <f t="shared" si="0"/>
        <v>#DIV/0!</v>
      </c>
      <c r="H13" s="5" t="e">
        <f t="shared" si="0"/>
        <v>#DIV/0!</v>
      </c>
      <c r="I13" s="6" t="e">
        <f t="shared" si="0"/>
        <v>#DIV/0!</v>
      </c>
      <c r="J13" s="5" t="e">
        <f t="shared" si="0"/>
        <v>#DIV/0!</v>
      </c>
      <c r="K13" s="6" t="e">
        <f t="shared" si="0"/>
        <v>#DIV/0!</v>
      </c>
      <c r="L13" s="5" t="e">
        <f t="shared" si="0"/>
        <v>#DIV/0!</v>
      </c>
      <c r="M13" s="6" t="e">
        <f t="shared" si="0"/>
        <v>#DIV/0!</v>
      </c>
      <c r="N13" s="5" t="e">
        <f t="shared" si="0"/>
        <v>#DIV/0!</v>
      </c>
      <c r="O13" s="6" t="e">
        <f t="shared" si="0"/>
        <v>#DIV/0!</v>
      </c>
      <c r="P13" s="5" t="e">
        <f t="shared" si="0"/>
        <v>#DIV/0!</v>
      </c>
      <c r="Q13" s="6" t="e">
        <f t="shared" si="0"/>
        <v>#DIV/0!</v>
      </c>
      <c r="R13" s="5" t="e">
        <f t="shared" si="0"/>
        <v>#DIV/0!</v>
      </c>
      <c r="S13" s="6" t="e">
        <f t="shared" si="0"/>
        <v>#DIV/0!</v>
      </c>
      <c r="T13" s="5" t="e">
        <f t="shared" si="0"/>
        <v>#DIV/0!</v>
      </c>
      <c r="U13" s="6" t="e">
        <f t="shared" si="0"/>
        <v>#DIV/0!</v>
      </c>
      <c r="V13" s="5" t="e">
        <f t="shared" si="0"/>
        <v>#DIV/0!</v>
      </c>
      <c r="W13" s="6" t="e">
        <f t="shared" si="0"/>
        <v>#DIV/0!</v>
      </c>
      <c r="X13" s="5" t="e">
        <f t="shared" si="0"/>
        <v>#DIV/0!</v>
      </c>
      <c r="Y13" s="6" t="e">
        <f t="shared" si="0"/>
        <v>#DIV/0!</v>
      </c>
      <c r="Z13" s="5" t="e">
        <f t="shared" si="0"/>
        <v>#DIV/0!</v>
      </c>
      <c r="AA13" s="5" t="e">
        <f t="shared" si="0"/>
        <v>#DIV/0!</v>
      </c>
      <c r="AB13" s="5" t="e">
        <f t="shared" si="0"/>
        <v>#DIV/0!</v>
      </c>
      <c r="AC13" s="5" t="e">
        <f t="shared" si="0"/>
        <v>#DIV/0!</v>
      </c>
      <c r="AD13" s="5" t="e">
        <f t="shared" si="0"/>
        <v>#DIV/0!</v>
      </c>
      <c r="AE13" s="5" t="e">
        <f t="shared" si="0"/>
        <v>#DIV/0!</v>
      </c>
      <c r="AF13" s="5" t="e">
        <f t="shared" si="0"/>
        <v>#DIV/0!</v>
      </c>
      <c r="AG13" s="6" t="e">
        <f t="shared" si="0"/>
        <v>#DIV/0!</v>
      </c>
      <c r="AH13" s="6" t="e">
        <f t="shared" si="0"/>
        <v>#DIV/0!</v>
      </c>
      <c r="AI13" s="5" t="e">
        <f t="shared" si="0"/>
        <v>#DIV/0!</v>
      </c>
      <c r="AJ13" s="6" t="e">
        <f t="shared" si="0"/>
        <v>#DIV/0!</v>
      </c>
      <c r="AK13" s="5" t="e">
        <f t="shared" si="0"/>
        <v>#DIV/0!</v>
      </c>
      <c r="AL13" s="6" t="e">
        <f t="shared" si="0"/>
        <v>#DIV/0!</v>
      </c>
      <c r="AM13" s="5" t="e">
        <f t="shared" si="0"/>
        <v>#DIV/0!</v>
      </c>
      <c r="AN13" s="5" t="e">
        <f t="shared" si="0"/>
        <v>#DIV/0!</v>
      </c>
      <c r="AO13" s="6" t="e">
        <f t="shared" si="0"/>
        <v>#DIV/0!</v>
      </c>
      <c r="AP13" s="6" t="e">
        <f t="shared" si="0"/>
        <v>#DIV/0!</v>
      </c>
    </row>
    <row r="15" spans="1:42" x14ac:dyDescent="0.2">
      <c r="A15" s="63" t="s">
        <v>790</v>
      </c>
      <c r="D15" s="13" t="s">
        <v>2354</v>
      </c>
    </row>
    <row r="16" spans="1:42" x14ac:dyDescent="0.2">
      <c r="A16" s="32" t="s">
        <v>185</v>
      </c>
      <c r="B16" s="2" t="s">
        <v>791</v>
      </c>
      <c r="C16" s="2" t="s">
        <v>792</v>
      </c>
      <c r="D16" s="143" t="s">
        <v>793</v>
      </c>
      <c r="E16" s="2" t="s">
        <v>794</v>
      </c>
      <c r="F16" s="2" t="s">
        <v>795</v>
      </c>
      <c r="G16" s="2" t="s">
        <v>796</v>
      </c>
      <c r="H16" s="2" t="s">
        <v>797</v>
      </c>
      <c r="I16" s="2" t="s">
        <v>798</v>
      </c>
      <c r="J16" s="2" t="s">
        <v>799</v>
      </c>
      <c r="K16" s="2" t="s">
        <v>800</v>
      </c>
      <c r="L16" s="2" t="s">
        <v>801</v>
      </c>
      <c r="M16" s="2" t="s">
        <v>802</v>
      </c>
    </row>
    <row r="18" spans="1:12" x14ac:dyDescent="0.2">
      <c r="D18" s="13" t="s">
        <v>2354</v>
      </c>
    </row>
    <row r="19" spans="1:12" x14ac:dyDescent="0.2">
      <c r="A19" s="63" t="s">
        <v>803</v>
      </c>
    </row>
    <row r="20" spans="1:12" x14ac:dyDescent="0.2">
      <c r="A20" s="32" t="s">
        <v>185</v>
      </c>
      <c r="B20" s="2" t="s">
        <v>791</v>
      </c>
      <c r="C20" s="2" t="s">
        <v>793</v>
      </c>
      <c r="D20" s="143" t="s">
        <v>794</v>
      </c>
      <c r="E20" s="2" t="s">
        <v>795</v>
      </c>
      <c r="F20" s="2" t="s">
        <v>797</v>
      </c>
      <c r="G20" s="2" t="s">
        <v>798</v>
      </c>
      <c r="H20" s="2" t="s">
        <v>799</v>
      </c>
      <c r="I20" s="2" t="s">
        <v>800</v>
      </c>
      <c r="J20" s="2" t="s">
        <v>801</v>
      </c>
      <c r="K20" s="2" t="s">
        <v>802</v>
      </c>
      <c r="L20" s="2" t="s">
        <v>804</v>
      </c>
    </row>
    <row r="22" spans="1:12" x14ac:dyDescent="0.2">
      <c r="D22" s="13" t="s">
        <v>2354</v>
      </c>
    </row>
    <row r="23" spans="1:12" x14ac:dyDescent="0.2">
      <c r="L23" s="58"/>
    </row>
    <row r="24" spans="1:12" s="58" customFormat="1" x14ac:dyDescent="0.2">
      <c r="A24" s="64" t="s">
        <v>805</v>
      </c>
      <c r="D24" s="144" t="s">
        <v>2354</v>
      </c>
      <c r="L24"/>
    </row>
    <row r="25" spans="1:12" x14ac:dyDescent="0.2">
      <c r="A25" s="32" t="s">
        <v>186</v>
      </c>
      <c r="B25" s="2" t="s">
        <v>187</v>
      </c>
      <c r="C25" s="2" t="s">
        <v>188</v>
      </c>
      <c r="D25" s="2" t="s">
        <v>189</v>
      </c>
      <c r="E25" s="2" t="s">
        <v>806</v>
      </c>
      <c r="F25" s="2" t="s">
        <v>190</v>
      </c>
      <c r="G25" s="2" t="s">
        <v>191</v>
      </c>
    </row>
    <row r="28" spans="1:12" x14ac:dyDescent="0.2">
      <c r="D28" s="143" t="s">
        <v>2354</v>
      </c>
      <c r="E28" s="2" t="s">
        <v>807</v>
      </c>
    </row>
    <row r="29" spans="1:12" x14ac:dyDescent="0.2">
      <c r="D29" t="e">
        <f>ROUND(AVERAGE(D31:D68),0)</f>
        <v>#DIV/0!</v>
      </c>
      <c r="E29" t="e">
        <f>AVERAGE(E31:E68)</f>
        <v>#DIV/0!</v>
      </c>
    </row>
    <row r="30" spans="1:12" x14ac:dyDescent="0.2">
      <c r="A30" s="63" t="s">
        <v>808</v>
      </c>
    </row>
    <row r="31" spans="1:12" x14ac:dyDescent="0.2">
      <c r="A31" s="32" t="s">
        <v>192</v>
      </c>
      <c r="B31" s="2" t="s">
        <v>193</v>
      </c>
      <c r="C31" s="2" t="s">
        <v>194</v>
      </c>
      <c r="D31" s="2" t="s">
        <v>195</v>
      </c>
      <c r="E31" s="2" t="s">
        <v>196</v>
      </c>
    </row>
    <row r="70" spans="1:37" x14ac:dyDescent="0.2">
      <c r="L70" s="2"/>
    </row>
    <row r="71" spans="1:37" x14ac:dyDescent="0.2">
      <c r="A71" s="59"/>
      <c r="B71" s="2"/>
      <c r="C71" s="2"/>
      <c r="D71" s="2"/>
      <c r="E71" s="2"/>
      <c r="F71" s="2"/>
      <c r="G71" s="2"/>
      <c r="H71" s="2"/>
      <c r="I71" s="2"/>
      <c r="J71" s="2"/>
      <c r="K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</row>
    <row r="72" spans="1:37" x14ac:dyDescent="0.2">
      <c r="A72" s="59"/>
      <c r="B72" s="56"/>
      <c r="C72" s="56"/>
      <c r="D72" s="56"/>
      <c r="E72" s="56"/>
      <c r="L72" s="2"/>
    </row>
    <row r="73" spans="1:37" x14ac:dyDescent="0.2">
      <c r="F73" s="2"/>
      <c r="G73" s="2"/>
      <c r="H73" s="2"/>
      <c r="I73" s="2"/>
      <c r="J73" s="2"/>
      <c r="K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</row>
    <row r="74" spans="1:37" x14ac:dyDescent="0.2">
      <c r="A74" s="63" t="s">
        <v>809</v>
      </c>
      <c r="L74" s="56"/>
    </row>
    <row r="75" spans="1:37" s="56" customFormat="1" x14ac:dyDescent="0.2">
      <c r="A75" s="59" t="s">
        <v>197</v>
      </c>
      <c r="B75" s="56" t="s">
        <v>198</v>
      </c>
      <c r="C75" s="56" t="s">
        <v>199</v>
      </c>
      <c r="D75" s="56" t="s">
        <v>810</v>
      </c>
      <c r="E75" s="56" t="s">
        <v>811</v>
      </c>
      <c r="F75" s="56" t="s">
        <v>812</v>
      </c>
      <c r="G75" s="56" t="s">
        <v>813</v>
      </c>
      <c r="H75" s="56" t="s">
        <v>814</v>
      </c>
      <c r="I75" s="56" t="s">
        <v>815</v>
      </c>
      <c r="J75" s="56" t="s">
        <v>816</v>
      </c>
      <c r="K75" s="56" t="s">
        <v>817</v>
      </c>
      <c r="L75" s="2" t="s">
        <v>818</v>
      </c>
      <c r="M75" s="56" t="s">
        <v>819</v>
      </c>
      <c r="N75" s="56" t="s">
        <v>820</v>
      </c>
      <c r="O75" s="56" t="s">
        <v>821</v>
      </c>
      <c r="P75" s="56" t="s">
        <v>200</v>
      </c>
      <c r="Q75" s="56" t="s">
        <v>201</v>
      </c>
      <c r="R75" s="56" t="s">
        <v>202</v>
      </c>
      <c r="S75" s="56" t="s">
        <v>203</v>
      </c>
      <c r="T75" s="56" t="s">
        <v>204</v>
      </c>
      <c r="U75" s="56" t="s">
        <v>205</v>
      </c>
      <c r="V75" s="56" t="s">
        <v>206</v>
      </c>
      <c r="W75" s="56" t="s">
        <v>207</v>
      </c>
      <c r="X75" s="56" t="s">
        <v>208</v>
      </c>
      <c r="Y75" s="56" t="s">
        <v>209</v>
      </c>
      <c r="Z75" s="56" t="s">
        <v>210</v>
      </c>
      <c r="AA75" s="56" t="s">
        <v>211</v>
      </c>
      <c r="AB75" s="56" t="s">
        <v>212</v>
      </c>
      <c r="AC75" s="56" t="s">
        <v>213</v>
      </c>
      <c r="AD75" s="56" t="s">
        <v>214</v>
      </c>
      <c r="AE75" s="56" t="s">
        <v>215</v>
      </c>
      <c r="AF75" s="56" t="s">
        <v>216</v>
      </c>
      <c r="AG75" s="56" t="s">
        <v>217</v>
      </c>
      <c r="AH75" s="56" t="s">
        <v>1072</v>
      </c>
      <c r="AI75" s="56" t="s">
        <v>1073</v>
      </c>
      <c r="AJ75" s="56" t="s">
        <v>1074</v>
      </c>
    </row>
    <row r="76" spans="1:37" s="57" customFormat="1" x14ac:dyDescent="0.2">
      <c r="A76" s="12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8" spans="1:37" x14ac:dyDescent="0.2">
      <c r="A78" s="63" t="s">
        <v>822</v>
      </c>
    </row>
    <row r="79" spans="1:37" x14ac:dyDescent="0.2">
      <c r="A79" s="32" t="s">
        <v>1582</v>
      </c>
      <c r="B79" s="2" t="s">
        <v>823</v>
      </c>
      <c r="C79" s="2" t="s">
        <v>824</v>
      </c>
      <c r="D79" s="2" t="s">
        <v>825</v>
      </c>
      <c r="E79" s="2" t="s">
        <v>826</v>
      </c>
      <c r="F79" s="2" t="s">
        <v>827</v>
      </c>
      <c r="G79" s="2" t="s">
        <v>1075</v>
      </c>
      <c r="H79" s="2" t="s">
        <v>828</v>
      </c>
      <c r="I79" s="2" t="s">
        <v>829</v>
      </c>
      <c r="J79" s="2" t="s">
        <v>830</v>
      </c>
      <c r="K79" s="2" t="s">
        <v>831</v>
      </c>
      <c r="L79" s="2" t="s">
        <v>1583</v>
      </c>
      <c r="M79" s="2" t="s">
        <v>832</v>
      </c>
      <c r="N79" s="2" t="s">
        <v>833</v>
      </c>
      <c r="O79" s="2" t="s">
        <v>834</v>
      </c>
      <c r="P79" s="2" t="s">
        <v>835</v>
      </c>
      <c r="Q79" s="2" t="s">
        <v>836</v>
      </c>
      <c r="R79" s="2" t="s">
        <v>837</v>
      </c>
      <c r="S79" s="2" t="s">
        <v>838</v>
      </c>
      <c r="T79" s="2" t="s">
        <v>1584</v>
      </c>
      <c r="U79" s="2" t="s">
        <v>839</v>
      </c>
      <c r="V79" s="2" t="s">
        <v>840</v>
      </c>
      <c r="W79" s="2" t="s">
        <v>841</v>
      </c>
      <c r="X79" s="2" t="s">
        <v>842</v>
      </c>
    </row>
    <row r="82" spans="1:11" x14ac:dyDescent="0.2">
      <c r="A82" s="63" t="s">
        <v>843</v>
      </c>
    </row>
    <row r="83" spans="1:11" x14ac:dyDescent="0.2">
      <c r="A83" s="32" t="s">
        <v>782</v>
      </c>
      <c r="B83" s="2" t="s">
        <v>783</v>
      </c>
      <c r="C83" s="2" t="s">
        <v>784</v>
      </c>
      <c r="D83" s="2" t="s">
        <v>793</v>
      </c>
      <c r="E83" s="2" t="s">
        <v>794</v>
      </c>
      <c r="F83" s="2" t="s">
        <v>795</v>
      </c>
      <c r="G83" s="2" t="s">
        <v>844</v>
      </c>
      <c r="H83" s="2" t="s">
        <v>845</v>
      </c>
      <c r="I83" s="2" t="s">
        <v>846</v>
      </c>
      <c r="J83" s="2" t="s">
        <v>847</v>
      </c>
      <c r="K83" s="2" t="s">
        <v>848</v>
      </c>
    </row>
    <row r="86" spans="1:11" x14ac:dyDescent="0.2">
      <c r="A86" s="64" t="s">
        <v>850</v>
      </c>
    </row>
    <row r="87" spans="1:11" x14ac:dyDescent="0.2">
      <c r="A87" s="32" t="s">
        <v>782</v>
      </c>
      <c r="B87" s="2" t="s">
        <v>783</v>
      </c>
      <c r="C87" s="2" t="s">
        <v>784</v>
      </c>
      <c r="D87" s="2" t="s">
        <v>793</v>
      </c>
      <c r="E87" s="2" t="s">
        <v>794</v>
      </c>
      <c r="F87" s="2" t="s">
        <v>795</v>
      </c>
      <c r="G87" s="2" t="s">
        <v>844</v>
      </c>
      <c r="H87" s="2" t="s">
        <v>845</v>
      </c>
      <c r="I87" s="2" t="s">
        <v>846</v>
      </c>
      <c r="J87" s="2" t="s">
        <v>847</v>
      </c>
      <c r="K87" s="2" t="s">
        <v>848</v>
      </c>
    </row>
    <row r="91" spans="1:11" x14ac:dyDescent="0.2">
      <c r="A91" s="64" t="s">
        <v>852</v>
      </c>
    </row>
    <row r="92" spans="1:11" x14ac:dyDescent="0.2">
      <c r="A92" s="32" t="s">
        <v>782</v>
      </c>
      <c r="B92" s="2" t="s">
        <v>783</v>
      </c>
      <c r="C92" s="2" t="s">
        <v>784</v>
      </c>
      <c r="D92" s="2" t="s">
        <v>793</v>
      </c>
      <c r="E92" s="2" t="s">
        <v>794</v>
      </c>
      <c r="F92" s="2" t="s">
        <v>795</v>
      </c>
      <c r="G92" s="2" t="s">
        <v>844</v>
      </c>
      <c r="H92" s="2" t="s">
        <v>845</v>
      </c>
      <c r="I92" s="2" t="s">
        <v>846</v>
      </c>
      <c r="J92" s="2" t="s">
        <v>847</v>
      </c>
      <c r="K92" s="2" t="s">
        <v>848</v>
      </c>
    </row>
    <row r="95" spans="1:11" x14ac:dyDescent="0.2">
      <c r="A95" s="60" t="s">
        <v>854</v>
      </c>
      <c r="B95" s="28"/>
      <c r="C95" s="28"/>
      <c r="D95" s="28"/>
      <c r="E95" s="28"/>
      <c r="F95" s="28"/>
      <c r="G95" s="28"/>
      <c r="H95" s="28"/>
      <c r="I95" s="28"/>
      <c r="J95" s="28"/>
      <c r="K95" s="28"/>
    </row>
    <row r="96" spans="1:11" x14ac:dyDescent="0.2">
      <c r="A96" s="61" t="s">
        <v>782</v>
      </c>
      <c r="B96" s="29" t="s">
        <v>783</v>
      </c>
      <c r="C96" s="29" t="s">
        <v>784</v>
      </c>
      <c r="D96" s="29" t="s">
        <v>793</v>
      </c>
      <c r="E96" s="29" t="s">
        <v>794</v>
      </c>
      <c r="F96" s="29" t="s">
        <v>795</v>
      </c>
      <c r="G96" s="29" t="s">
        <v>844</v>
      </c>
      <c r="H96" s="29" t="s">
        <v>845</v>
      </c>
      <c r="I96" s="29" t="s">
        <v>846</v>
      </c>
      <c r="J96" s="29" t="s">
        <v>847</v>
      </c>
      <c r="K96" s="29" t="s">
        <v>848</v>
      </c>
    </row>
    <row r="99" spans="1:13" x14ac:dyDescent="0.2">
      <c r="A99" s="62" t="s">
        <v>856</v>
      </c>
      <c r="B99" s="30"/>
      <c r="C99" s="30"/>
      <c r="D99" s="30" t="e">
        <f t="shared" ref="D99:K99" si="1">AVERAGE(D97,D93)</f>
        <v>#DIV/0!</v>
      </c>
      <c r="E99" s="30" t="e">
        <f t="shared" si="1"/>
        <v>#DIV/0!</v>
      </c>
      <c r="F99" s="30" t="e">
        <f t="shared" si="1"/>
        <v>#DIV/0!</v>
      </c>
      <c r="G99" s="30" t="e">
        <f t="shared" si="1"/>
        <v>#DIV/0!</v>
      </c>
      <c r="H99" s="30" t="e">
        <f t="shared" si="1"/>
        <v>#DIV/0!</v>
      </c>
      <c r="I99" s="30" t="e">
        <f t="shared" si="1"/>
        <v>#DIV/0!</v>
      </c>
      <c r="J99" s="30" t="e">
        <f t="shared" si="1"/>
        <v>#DIV/0!</v>
      </c>
      <c r="K99" s="30" t="e">
        <f t="shared" si="1"/>
        <v>#DIV/0!</v>
      </c>
      <c r="M99" s="27"/>
    </row>
    <row r="101" spans="1:13" x14ac:dyDescent="0.2">
      <c r="A101" s="12" t="s">
        <v>857</v>
      </c>
    </row>
    <row r="102" spans="1:13" x14ac:dyDescent="0.2">
      <c r="A102" s="32" t="s">
        <v>782</v>
      </c>
      <c r="B102" s="2" t="s">
        <v>783</v>
      </c>
      <c r="C102" s="2" t="s">
        <v>784</v>
      </c>
      <c r="D102" s="2" t="s">
        <v>793</v>
      </c>
      <c r="E102" s="2" t="s">
        <v>794</v>
      </c>
      <c r="F102" s="2" t="s">
        <v>795</v>
      </c>
      <c r="G102" s="2" t="s">
        <v>844</v>
      </c>
      <c r="H102" s="2" t="s">
        <v>845</v>
      </c>
      <c r="I102" s="2" t="s">
        <v>846</v>
      </c>
      <c r="J102" s="2" t="s">
        <v>847</v>
      </c>
      <c r="K102" s="2" t="s">
        <v>848</v>
      </c>
    </row>
    <row r="105" spans="1:13" x14ac:dyDescent="0.2">
      <c r="A105" s="60" t="s">
        <v>858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</row>
    <row r="106" spans="1:13" x14ac:dyDescent="0.2">
      <c r="A106" s="61" t="s">
        <v>782</v>
      </c>
      <c r="B106" s="29" t="s">
        <v>783</v>
      </c>
      <c r="C106" s="29" t="s">
        <v>784</v>
      </c>
      <c r="D106" s="29" t="s">
        <v>793</v>
      </c>
      <c r="E106" s="29" t="s">
        <v>794</v>
      </c>
      <c r="F106" s="29" t="s">
        <v>795</v>
      </c>
      <c r="G106" s="29" t="s">
        <v>844</v>
      </c>
      <c r="H106" s="29" t="s">
        <v>845</v>
      </c>
      <c r="I106" s="29" t="s">
        <v>846</v>
      </c>
      <c r="J106" s="29" t="s">
        <v>847</v>
      </c>
      <c r="K106" s="29" t="s">
        <v>848</v>
      </c>
    </row>
    <row r="109" spans="1:13" x14ac:dyDescent="0.2">
      <c r="A109" s="62" t="s">
        <v>859</v>
      </c>
      <c r="B109" s="30"/>
      <c r="C109" s="30"/>
      <c r="D109" s="30" t="e">
        <f t="shared" ref="D109:K109" si="2">AVERAGE(D107,D103)</f>
        <v>#DIV/0!</v>
      </c>
      <c r="E109" s="30" t="e">
        <f t="shared" si="2"/>
        <v>#DIV/0!</v>
      </c>
      <c r="F109" s="30" t="e">
        <f t="shared" si="2"/>
        <v>#DIV/0!</v>
      </c>
      <c r="G109" s="30" t="e">
        <f t="shared" si="2"/>
        <v>#DIV/0!</v>
      </c>
      <c r="H109" s="30" t="e">
        <f t="shared" si="2"/>
        <v>#DIV/0!</v>
      </c>
      <c r="I109" s="30" t="e">
        <f t="shared" si="2"/>
        <v>#DIV/0!</v>
      </c>
      <c r="J109" s="30" t="e">
        <f t="shared" si="2"/>
        <v>#DIV/0!</v>
      </c>
      <c r="K109" s="30" t="e">
        <f t="shared" si="2"/>
        <v>#DIV/0!</v>
      </c>
    </row>
    <row r="111" spans="1:13" x14ac:dyDescent="0.2">
      <c r="A111" s="12" t="s">
        <v>860</v>
      </c>
    </row>
    <row r="112" spans="1:13" x14ac:dyDescent="0.2">
      <c r="A112" s="32" t="s">
        <v>782</v>
      </c>
      <c r="B112" s="2" t="s">
        <v>783</v>
      </c>
      <c r="C112" s="2" t="s">
        <v>784</v>
      </c>
      <c r="D112" s="2" t="s">
        <v>793</v>
      </c>
      <c r="E112" s="2" t="s">
        <v>794</v>
      </c>
      <c r="F112" s="2" t="s">
        <v>795</v>
      </c>
      <c r="G112" s="2" t="s">
        <v>844</v>
      </c>
      <c r="H112" s="2" t="s">
        <v>845</v>
      </c>
      <c r="I112" s="2" t="s">
        <v>846</v>
      </c>
      <c r="J112" s="2" t="s">
        <v>847</v>
      </c>
      <c r="K112" s="2" t="s">
        <v>848</v>
      </c>
    </row>
    <row r="115" spans="1:11" x14ac:dyDescent="0.2">
      <c r="A115" s="60" t="s">
        <v>861</v>
      </c>
      <c r="B115" s="28"/>
      <c r="C115" s="28"/>
      <c r="D115" s="28"/>
      <c r="E115" s="28"/>
      <c r="F115" s="28"/>
      <c r="G115" s="28"/>
      <c r="H115" s="28"/>
      <c r="I115" s="28"/>
      <c r="J115" s="28"/>
      <c r="K115" s="28"/>
    </row>
    <row r="116" spans="1:11" x14ac:dyDescent="0.2">
      <c r="A116" s="61" t="s">
        <v>782</v>
      </c>
      <c r="B116" s="29" t="s">
        <v>783</v>
      </c>
      <c r="C116" s="29" t="s">
        <v>784</v>
      </c>
      <c r="D116" s="29" t="s">
        <v>793</v>
      </c>
      <c r="E116" s="29" t="s">
        <v>794</v>
      </c>
      <c r="F116" s="29" t="s">
        <v>795</v>
      </c>
      <c r="G116" s="29" t="s">
        <v>844</v>
      </c>
      <c r="H116" s="29" t="s">
        <v>845</v>
      </c>
      <c r="I116" s="29" t="s">
        <v>846</v>
      </c>
      <c r="J116" s="29" t="s">
        <v>847</v>
      </c>
      <c r="K116" s="29" t="s">
        <v>848</v>
      </c>
    </row>
    <row r="119" spans="1:11" x14ac:dyDescent="0.2">
      <c r="A119" s="62" t="s">
        <v>863</v>
      </c>
      <c r="B119" s="30"/>
      <c r="C119" s="30"/>
      <c r="D119" s="30" t="e">
        <f t="shared" ref="D119:K119" si="3">AVERAGE(D117,D113)</f>
        <v>#DIV/0!</v>
      </c>
      <c r="E119" s="30" t="e">
        <f t="shared" si="3"/>
        <v>#DIV/0!</v>
      </c>
      <c r="F119" s="30" t="e">
        <f t="shared" si="3"/>
        <v>#DIV/0!</v>
      </c>
      <c r="G119" s="30" t="e">
        <f t="shared" si="3"/>
        <v>#DIV/0!</v>
      </c>
      <c r="H119" s="30" t="e">
        <f t="shared" si="3"/>
        <v>#DIV/0!</v>
      </c>
      <c r="I119" s="30" t="e">
        <f t="shared" si="3"/>
        <v>#DIV/0!</v>
      </c>
      <c r="J119" s="30" t="e">
        <f t="shared" si="3"/>
        <v>#DIV/0!</v>
      </c>
      <c r="K119" s="30" t="e">
        <f t="shared" si="3"/>
        <v>#DIV/0!</v>
      </c>
    </row>
    <row r="121" spans="1:11" x14ac:dyDescent="0.2">
      <c r="A121" s="12" t="s">
        <v>864</v>
      </c>
    </row>
    <row r="122" spans="1:11" x14ac:dyDescent="0.2">
      <c r="A122" s="65" t="s">
        <v>782</v>
      </c>
      <c r="B122" s="2" t="s">
        <v>783</v>
      </c>
      <c r="C122" s="2" t="s">
        <v>784</v>
      </c>
      <c r="D122" s="2" t="s">
        <v>793</v>
      </c>
      <c r="E122" s="2" t="s">
        <v>794</v>
      </c>
      <c r="F122" s="2" t="s">
        <v>795</v>
      </c>
      <c r="G122" s="2" t="s">
        <v>844</v>
      </c>
      <c r="H122" s="2" t="s">
        <v>845</v>
      </c>
      <c r="I122" s="2" t="s">
        <v>846</v>
      </c>
      <c r="J122" s="2" t="s">
        <v>847</v>
      </c>
      <c r="K122" s="2" t="s">
        <v>848</v>
      </c>
    </row>
    <row r="125" spans="1:11" x14ac:dyDescent="0.2">
      <c r="A125" s="60" t="s">
        <v>865</v>
      </c>
      <c r="B125" s="28"/>
      <c r="C125" s="28"/>
      <c r="D125" s="28"/>
      <c r="E125" s="28"/>
      <c r="F125" s="28"/>
      <c r="G125" s="28"/>
      <c r="H125" s="28"/>
      <c r="I125" s="28"/>
      <c r="J125" s="28"/>
      <c r="K125" s="28"/>
    </row>
    <row r="126" spans="1:11" x14ac:dyDescent="0.2">
      <c r="A126" s="61" t="s">
        <v>782</v>
      </c>
      <c r="B126" s="29" t="s">
        <v>783</v>
      </c>
      <c r="C126" s="29" t="s">
        <v>784</v>
      </c>
      <c r="D126" s="29" t="s">
        <v>793</v>
      </c>
      <c r="E126" s="29" t="s">
        <v>794</v>
      </c>
      <c r="F126" s="29" t="s">
        <v>795</v>
      </c>
      <c r="G126" s="29" t="s">
        <v>844</v>
      </c>
      <c r="H126" s="29" t="s">
        <v>845</v>
      </c>
      <c r="I126" s="29" t="s">
        <v>846</v>
      </c>
      <c r="J126" s="29" t="s">
        <v>847</v>
      </c>
      <c r="K126" s="29" t="s">
        <v>848</v>
      </c>
    </row>
    <row r="129" spans="1:11" x14ac:dyDescent="0.2">
      <c r="A129" s="62" t="s">
        <v>866</v>
      </c>
      <c r="B129" s="30"/>
      <c r="C129" s="30"/>
      <c r="D129" s="30" t="e">
        <f t="shared" ref="D129:K129" si="4">AVERAGE(D127,D123)</f>
        <v>#DIV/0!</v>
      </c>
      <c r="E129" s="30" t="e">
        <f t="shared" si="4"/>
        <v>#DIV/0!</v>
      </c>
      <c r="F129" s="30" t="e">
        <f t="shared" si="4"/>
        <v>#DIV/0!</v>
      </c>
      <c r="G129" s="30" t="e">
        <f t="shared" si="4"/>
        <v>#DIV/0!</v>
      </c>
      <c r="H129" s="30" t="e">
        <f t="shared" si="4"/>
        <v>#DIV/0!</v>
      </c>
      <c r="I129" s="30" t="e">
        <f t="shared" si="4"/>
        <v>#DIV/0!</v>
      </c>
      <c r="J129" s="30" t="e">
        <f t="shared" si="4"/>
        <v>#DIV/0!</v>
      </c>
      <c r="K129" s="30" t="e">
        <f t="shared" si="4"/>
        <v>#DIV/0!</v>
      </c>
    </row>
    <row r="131" spans="1:11" x14ac:dyDescent="0.2">
      <c r="A131" s="12" t="s">
        <v>867</v>
      </c>
    </row>
    <row r="132" spans="1:11" x14ac:dyDescent="0.2">
      <c r="A132" s="32" t="s">
        <v>782</v>
      </c>
      <c r="B132" s="2" t="s">
        <v>783</v>
      </c>
      <c r="C132" s="2" t="s">
        <v>784</v>
      </c>
      <c r="D132" s="2" t="s">
        <v>793</v>
      </c>
      <c r="E132" s="2" t="s">
        <v>794</v>
      </c>
      <c r="F132" s="2" t="s">
        <v>795</v>
      </c>
      <c r="G132" s="2" t="s">
        <v>844</v>
      </c>
      <c r="H132" s="2" t="s">
        <v>845</v>
      </c>
      <c r="I132" s="2" t="s">
        <v>846</v>
      </c>
      <c r="J132" s="2" t="s">
        <v>847</v>
      </c>
      <c r="K132" s="2" t="s">
        <v>848</v>
      </c>
    </row>
    <row r="135" spans="1:11" x14ac:dyDescent="0.2">
      <c r="A135" s="60" t="s">
        <v>868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</row>
    <row r="136" spans="1:11" x14ac:dyDescent="0.2">
      <c r="A136" s="61" t="s">
        <v>782</v>
      </c>
      <c r="B136" s="29" t="s">
        <v>783</v>
      </c>
      <c r="C136" s="29" t="s">
        <v>784</v>
      </c>
      <c r="D136" s="29" t="s">
        <v>793</v>
      </c>
      <c r="E136" s="29" t="s">
        <v>794</v>
      </c>
      <c r="F136" s="29" t="s">
        <v>795</v>
      </c>
      <c r="G136" s="29" t="s">
        <v>844</v>
      </c>
      <c r="H136" s="29" t="s">
        <v>845</v>
      </c>
      <c r="I136" s="29" t="s">
        <v>846</v>
      </c>
      <c r="J136" s="29" t="s">
        <v>847</v>
      </c>
      <c r="K136" s="29" t="s">
        <v>848</v>
      </c>
    </row>
    <row r="139" spans="1:11" x14ac:dyDescent="0.2">
      <c r="A139" s="62" t="s">
        <v>869</v>
      </c>
      <c r="B139" s="30"/>
      <c r="C139" s="30"/>
      <c r="D139" s="30" t="e">
        <f t="shared" ref="D139:K139" si="5">AVERAGE(D137,D133)</f>
        <v>#DIV/0!</v>
      </c>
      <c r="E139" s="30" t="e">
        <f t="shared" si="5"/>
        <v>#DIV/0!</v>
      </c>
      <c r="F139" s="30" t="e">
        <f t="shared" si="5"/>
        <v>#DIV/0!</v>
      </c>
      <c r="G139" s="30" t="e">
        <f t="shared" si="5"/>
        <v>#DIV/0!</v>
      </c>
      <c r="H139" s="30" t="e">
        <f t="shared" si="5"/>
        <v>#DIV/0!</v>
      </c>
      <c r="I139" s="30" t="e">
        <f t="shared" si="5"/>
        <v>#DIV/0!</v>
      </c>
      <c r="J139" s="30" t="e">
        <f t="shared" si="5"/>
        <v>#DIV/0!</v>
      </c>
      <c r="K139" s="30" t="e">
        <f t="shared" si="5"/>
        <v>#DIV/0!</v>
      </c>
    </row>
    <row r="141" spans="1:11" x14ac:dyDescent="0.2">
      <c r="A141" s="12" t="s">
        <v>870</v>
      </c>
    </row>
    <row r="142" spans="1:11" x14ac:dyDescent="0.2">
      <c r="A142" s="32" t="s">
        <v>782</v>
      </c>
      <c r="B142" s="2" t="s">
        <v>783</v>
      </c>
      <c r="C142" s="2" t="s">
        <v>784</v>
      </c>
      <c r="D142" s="2" t="s">
        <v>793</v>
      </c>
      <c r="E142" s="2" t="s">
        <v>794</v>
      </c>
      <c r="F142" s="2" t="s">
        <v>795</v>
      </c>
      <c r="G142" s="2" t="s">
        <v>844</v>
      </c>
      <c r="H142" s="2" t="s">
        <v>845</v>
      </c>
      <c r="I142" s="2" t="s">
        <v>846</v>
      </c>
      <c r="J142" s="2" t="s">
        <v>847</v>
      </c>
      <c r="K142" s="2" t="s">
        <v>848</v>
      </c>
    </row>
    <row r="145" spans="1:11" x14ac:dyDescent="0.2">
      <c r="A145" s="60" t="s">
        <v>871</v>
      </c>
      <c r="B145" s="28"/>
      <c r="C145" s="28"/>
      <c r="D145" s="28"/>
      <c r="E145" s="28"/>
      <c r="F145" s="28"/>
      <c r="G145" s="28"/>
      <c r="H145" s="28"/>
      <c r="I145" s="28"/>
      <c r="J145" s="28"/>
      <c r="K145" s="28"/>
    </row>
    <row r="146" spans="1:11" x14ac:dyDescent="0.2">
      <c r="A146" s="61" t="s">
        <v>782</v>
      </c>
      <c r="B146" s="29" t="s">
        <v>783</v>
      </c>
      <c r="C146" s="29" t="s">
        <v>784</v>
      </c>
      <c r="D146" s="29" t="s">
        <v>793</v>
      </c>
      <c r="E146" s="29" t="s">
        <v>794</v>
      </c>
      <c r="F146" s="29" t="s">
        <v>795</v>
      </c>
      <c r="G146" s="29" t="s">
        <v>844</v>
      </c>
      <c r="H146" s="29" t="s">
        <v>845</v>
      </c>
      <c r="I146" s="29" t="s">
        <v>846</v>
      </c>
      <c r="J146" s="29" t="s">
        <v>847</v>
      </c>
      <c r="K146" s="29" t="s">
        <v>848</v>
      </c>
    </row>
    <row r="149" spans="1:11" x14ac:dyDescent="0.2">
      <c r="A149" s="62" t="s">
        <v>872</v>
      </c>
      <c r="B149" s="30"/>
      <c r="C149" s="30"/>
      <c r="D149" s="30" t="e">
        <f t="shared" ref="D149:K149" si="6">AVERAGE(D147,D143)</f>
        <v>#DIV/0!</v>
      </c>
      <c r="E149" s="30" t="e">
        <f t="shared" si="6"/>
        <v>#DIV/0!</v>
      </c>
      <c r="F149" s="30" t="e">
        <f t="shared" si="6"/>
        <v>#DIV/0!</v>
      </c>
      <c r="G149" s="30" t="e">
        <f t="shared" si="6"/>
        <v>#DIV/0!</v>
      </c>
      <c r="H149" s="30" t="e">
        <f t="shared" si="6"/>
        <v>#DIV/0!</v>
      </c>
      <c r="I149" s="30" t="e">
        <f t="shared" si="6"/>
        <v>#DIV/0!</v>
      </c>
      <c r="J149" s="30" t="e">
        <f t="shared" si="6"/>
        <v>#DIV/0!</v>
      </c>
      <c r="K149" s="30" t="e">
        <f t="shared" si="6"/>
        <v>#DIV/0!</v>
      </c>
    </row>
    <row r="151" spans="1:11" x14ac:dyDescent="0.2">
      <c r="A151" s="12" t="s">
        <v>873</v>
      </c>
    </row>
    <row r="152" spans="1:11" x14ac:dyDescent="0.2">
      <c r="A152" s="32" t="s">
        <v>782</v>
      </c>
      <c r="B152" s="2" t="s">
        <v>783</v>
      </c>
      <c r="C152" s="2" t="s">
        <v>784</v>
      </c>
      <c r="D152" s="2" t="s">
        <v>793</v>
      </c>
      <c r="E152" s="2" t="s">
        <v>794</v>
      </c>
      <c r="F152" s="2" t="s">
        <v>795</v>
      </c>
      <c r="G152" s="2" t="s">
        <v>844</v>
      </c>
      <c r="H152" s="2" t="s">
        <v>845</v>
      </c>
      <c r="I152" s="2" t="s">
        <v>846</v>
      </c>
      <c r="J152" s="2" t="s">
        <v>847</v>
      </c>
      <c r="K152" s="2" t="s">
        <v>848</v>
      </c>
    </row>
    <row r="155" spans="1:11" x14ac:dyDescent="0.2">
      <c r="A155" s="60" t="s">
        <v>874</v>
      </c>
      <c r="B155" s="28"/>
      <c r="C155" s="28"/>
      <c r="D155" s="28"/>
      <c r="E155" s="28"/>
      <c r="F155" s="28"/>
      <c r="G155" s="28"/>
      <c r="H155" s="28"/>
      <c r="I155" s="28"/>
      <c r="J155" s="28"/>
      <c r="K155" s="28"/>
    </row>
    <row r="156" spans="1:11" x14ac:dyDescent="0.2">
      <c r="A156" s="61" t="s">
        <v>782</v>
      </c>
      <c r="B156" s="29" t="s">
        <v>783</v>
      </c>
      <c r="C156" s="29" t="s">
        <v>784</v>
      </c>
      <c r="D156" s="29" t="s">
        <v>793</v>
      </c>
      <c r="E156" s="29" t="s">
        <v>794</v>
      </c>
      <c r="F156" s="29" t="s">
        <v>795</v>
      </c>
      <c r="G156" s="29" t="s">
        <v>844</v>
      </c>
      <c r="H156" s="29" t="s">
        <v>845</v>
      </c>
      <c r="I156" s="29" t="s">
        <v>846</v>
      </c>
      <c r="J156" s="29" t="s">
        <v>847</v>
      </c>
      <c r="K156" s="29" t="s">
        <v>848</v>
      </c>
    </row>
    <row r="159" spans="1:11" x14ac:dyDescent="0.2">
      <c r="A159" s="62" t="s">
        <v>875</v>
      </c>
      <c r="B159" s="30"/>
      <c r="C159" s="30"/>
      <c r="D159" s="30" t="e">
        <f t="shared" ref="D159:K159" si="7">AVERAGE(D157,D153)</f>
        <v>#DIV/0!</v>
      </c>
      <c r="E159" s="30" t="e">
        <f t="shared" si="7"/>
        <v>#DIV/0!</v>
      </c>
      <c r="F159" s="30" t="e">
        <f t="shared" si="7"/>
        <v>#DIV/0!</v>
      </c>
      <c r="G159" s="30" t="e">
        <f t="shared" si="7"/>
        <v>#DIV/0!</v>
      </c>
      <c r="H159" s="30" t="e">
        <f t="shared" si="7"/>
        <v>#DIV/0!</v>
      </c>
      <c r="I159" s="30" t="e">
        <f t="shared" si="7"/>
        <v>#DIV/0!</v>
      </c>
      <c r="J159" s="30" t="e">
        <f t="shared" si="7"/>
        <v>#DIV/0!</v>
      </c>
      <c r="K159" s="30" t="e">
        <f t="shared" si="7"/>
        <v>#DIV/0!</v>
      </c>
    </row>
    <row r="161" spans="1:3" x14ac:dyDescent="0.2">
      <c r="A161" s="32" t="s">
        <v>876</v>
      </c>
    </row>
    <row r="162" spans="1:3" x14ac:dyDescent="0.2">
      <c r="A162" s="12" t="s">
        <v>877</v>
      </c>
      <c r="B162" s="12">
        <f t="array" ref="B162:C162">_xll.PICalcDat($A$162,$A$2,$A$1,"1d","average",1, 1,"gramercypi1")</f>
        <v>43318</v>
      </c>
      <c r="C162" s="31">
        <v>1.2876230442805059</v>
      </c>
    </row>
  </sheetData>
  <phoneticPr fontId="0" type="noConversion"/>
  <pageMargins left="0.75" right="0.75" top="1" bottom="1" header="0.5" footer="0.5"/>
  <pageSetup orientation="portrait" horizontalDpi="4294967293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69"/>
  <sheetViews>
    <sheetView workbookViewId="0">
      <pane ySplit="4" topLeftCell="A5" activePane="bottomLeft" state="frozen"/>
      <selection activeCell="D30" sqref="D30"/>
      <selection pane="bottomLeft" activeCell="A5" sqref="A5"/>
    </sheetView>
  </sheetViews>
  <sheetFormatPr defaultRowHeight="12.75" x14ac:dyDescent="0.2"/>
  <cols>
    <col min="1" max="1" width="10.28515625" bestFit="1" customWidth="1"/>
    <col min="2" max="2" width="10.5703125" bestFit="1" customWidth="1"/>
    <col min="3" max="3" width="14.140625" bestFit="1" customWidth="1"/>
    <col min="10" max="13" width="0" hidden="1" customWidth="1"/>
  </cols>
  <sheetData>
    <row r="1" spans="1:13" x14ac:dyDescent="0.2">
      <c r="A1">
        <v>5</v>
      </c>
      <c r="B1" t="s">
        <v>2211</v>
      </c>
    </row>
    <row r="2" spans="1:13" x14ac:dyDescent="0.2">
      <c r="A2">
        <f>A1+A3-1</f>
        <v>669</v>
      </c>
      <c r="B2" t="s">
        <v>2116</v>
      </c>
    </row>
    <row r="3" spans="1:13" x14ac:dyDescent="0.2">
      <c r="A3">
        <f>COUNTA(A5:A1000)</f>
        <v>665</v>
      </c>
      <c r="B3" t="s">
        <v>2115</v>
      </c>
    </row>
    <row r="4" spans="1:13" x14ac:dyDescent="0.2">
      <c r="A4" t="s">
        <v>2109</v>
      </c>
      <c r="B4" t="s">
        <v>2110</v>
      </c>
      <c r="C4" t="s">
        <v>2111</v>
      </c>
      <c r="D4" t="s">
        <v>27</v>
      </c>
      <c r="J4" t="s">
        <v>2109</v>
      </c>
      <c r="K4" t="s">
        <v>2110</v>
      </c>
      <c r="L4" t="s">
        <v>2111</v>
      </c>
      <c r="M4" t="s">
        <v>27</v>
      </c>
    </row>
    <row r="5" spans="1:13" x14ac:dyDescent="0.2">
      <c r="A5" s="15" t="s">
        <v>25</v>
      </c>
      <c r="B5" s="15" t="s">
        <v>388</v>
      </c>
      <c r="C5" s="13" t="s">
        <v>2078</v>
      </c>
      <c r="D5" s="13" t="s">
        <v>370</v>
      </c>
      <c r="J5" t="s">
        <v>25</v>
      </c>
      <c r="K5" t="s">
        <v>28</v>
      </c>
      <c r="L5" t="s">
        <v>28</v>
      </c>
      <c r="M5" t="s">
        <v>34</v>
      </c>
    </row>
    <row r="6" spans="1:13" x14ac:dyDescent="0.2">
      <c r="A6" s="15" t="s">
        <v>25</v>
      </c>
      <c r="B6" s="15" t="s">
        <v>389</v>
      </c>
      <c r="C6" s="13" t="s">
        <v>2060</v>
      </c>
      <c r="D6" s="13" t="s">
        <v>371</v>
      </c>
      <c r="J6" t="s">
        <v>25</v>
      </c>
      <c r="K6" t="s">
        <v>29</v>
      </c>
      <c r="L6" t="s">
        <v>587</v>
      </c>
      <c r="M6" t="s">
        <v>35</v>
      </c>
    </row>
    <row r="7" spans="1:13" x14ac:dyDescent="0.2">
      <c r="A7" s="15" t="s">
        <v>25</v>
      </c>
      <c r="B7" s="15" t="s">
        <v>390</v>
      </c>
      <c r="C7" s="13" t="s">
        <v>2057</v>
      </c>
      <c r="D7" s="13" t="s">
        <v>372</v>
      </c>
      <c r="J7" t="s">
        <v>25</v>
      </c>
      <c r="K7" t="s">
        <v>30</v>
      </c>
      <c r="L7" t="s">
        <v>581</v>
      </c>
      <c r="M7" t="s">
        <v>36</v>
      </c>
    </row>
    <row r="8" spans="1:13" x14ac:dyDescent="0.2">
      <c r="A8" s="15" t="s">
        <v>25</v>
      </c>
      <c r="B8" s="15" t="s">
        <v>391</v>
      </c>
      <c r="C8" s="13" t="s">
        <v>1902</v>
      </c>
      <c r="D8" s="13" t="s">
        <v>373</v>
      </c>
      <c r="J8" t="s">
        <v>25</v>
      </c>
      <c r="K8" t="s">
        <v>31</v>
      </c>
      <c r="L8" t="s">
        <v>58</v>
      </c>
      <c r="M8" t="s">
        <v>37</v>
      </c>
    </row>
    <row r="9" spans="1:13" x14ac:dyDescent="0.2">
      <c r="A9" s="15" t="s">
        <v>25</v>
      </c>
      <c r="B9" s="15" t="s">
        <v>392</v>
      </c>
      <c r="C9" s="13" t="s">
        <v>2058</v>
      </c>
      <c r="D9" s="13" t="s">
        <v>374</v>
      </c>
      <c r="J9" t="s">
        <v>25</v>
      </c>
      <c r="K9" t="s">
        <v>32</v>
      </c>
      <c r="L9" t="s">
        <v>52</v>
      </c>
      <c r="M9" t="s">
        <v>38</v>
      </c>
    </row>
    <row r="10" spans="1:13" x14ac:dyDescent="0.2">
      <c r="A10" s="15" t="s">
        <v>25</v>
      </c>
      <c r="B10" s="15" t="s">
        <v>393</v>
      </c>
      <c r="C10" s="13" t="s">
        <v>2059</v>
      </c>
      <c r="D10" s="13" t="s">
        <v>375</v>
      </c>
      <c r="J10" t="s">
        <v>25</v>
      </c>
      <c r="K10" t="s">
        <v>33</v>
      </c>
      <c r="L10" t="s">
        <v>1909</v>
      </c>
      <c r="M10" t="s">
        <v>39</v>
      </c>
    </row>
    <row r="11" spans="1:13" x14ac:dyDescent="0.2">
      <c r="A11" s="13" t="s">
        <v>25</v>
      </c>
      <c r="B11" s="13" t="s">
        <v>45</v>
      </c>
      <c r="C11" s="13" t="s">
        <v>1910</v>
      </c>
      <c r="D11" s="13" t="s">
        <v>51</v>
      </c>
      <c r="J11" t="s">
        <v>25</v>
      </c>
      <c r="K11" t="s">
        <v>40</v>
      </c>
      <c r="L11" t="s">
        <v>29</v>
      </c>
      <c r="M11" t="s">
        <v>46</v>
      </c>
    </row>
    <row r="12" spans="1:13" x14ac:dyDescent="0.2">
      <c r="A12" s="13" t="s">
        <v>25</v>
      </c>
      <c r="B12" s="13" t="s">
        <v>240</v>
      </c>
      <c r="C12" s="13" t="s">
        <v>1948</v>
      </c>
      <c r="D12" s="13" t="s">
        <v>239</v>
      </c>
      <c r="J12" t="s">
        <v>25</v>
      </c>
      <c r="K12" t="s">
        <v>41</v>
      </c>
      <c r="L12" t="s">
        <v>588</v>
      </c>
      <c r="M12" t="s">
        <v>47</v>
      </c>
    </row>
    <row r="13" spans="1:13" x14ac:dyDescent="0.2">
      <c r="A13" s="13" t="s">
        <v>25</v>
      </c>
      <c r="B13" s="13" t="s">
        <v>241</v>
      </c>
      <c r="C13" s="13" t="s">
        <v>1944</v>
      </c>
      <c r="D13" s="13" t="s">
        <v>228</v>
      </c>
      <c r="J13" t="s">
        <v>25</v>
      </c>
      <c r="K13" t="s">
        <v>42</v>
      </c>
      <c r="L13" t="s">
        <v>582</v>
      </c>
      <c r="M13" t="s">
        <v>48</v>
      </c>
    </row>
    <row r="14" spans="1:13" x14ac:dyDescent="0.2">
      <c r="A14" s="13" t="s">
        <v>25</v>
      </c>
      <c r="B14" s="13" t="s">
        <v>242</v>
      </c>
      <c r="C14" s="13" t="s">
        <v>1945</v>
      </c>
      <c r="D14" s="13" t="s">
        <v>229</v>
      </c>
      <c r="J14" t="s">
        <v>25</v>
      </c>
      <c r="K14" t="s">
        <v>43</v>
      </c>
      <c r="L14" t="s">
        <v>59</v>
      </c>
      <c r="M14" t="s">
        <v>49</v>
      </c>
    </row>
    <row r="15" spans="1:13" x14ac:dyDescent="0.2">
      <c r="A15" s="13" t="s">
        <v>25</v>
      </c>
      <c r="B15" s="13" t="s">
        <v>243</v>
      </c>
      <c r="C15" s="13" t="s">
        <v>1877</v>
      </c>
      <c r="D15" s="13" t="s">
        <v>230</v>
      </c>
      <c r="J15" t="s">
        <v>25</v>
      </c>
      <c r="K15" t="s">
        <v>44</v>
      </c>
      <c r="L15" t="s">
        <v>53</v>
      </c>
      <c r="M15" t="s">
        <v>50</v>
      </c>
    </row>
    <row r="16" spans="1:13" x14ac:dyDescent="0.2">
      <c r="A16" s="13" t="s">
        <v>25</v>
      </c>
      <c r="B16" s="13" t="s">
        <v>244</v>
      </c>
      <c r="C16" s="13" t="s">
        <v>1946</v>
      </c>
      <c r="D16" s="13" t="s">
        <v>231</v>
      </c>
      <c r="J16" t="s">
        <v>25</v>
      </c>
      <c r="K16" t="s">
        <v>45</v>
      </c>
      <c r="L16" t="s">
        <v>1910</v>
      </c>
      <c r="M16" t="s">
        <v>51</v>
      </c>
    </row>
    <row r="17" spans="1:13" x14ac:dyDescent="0.2">
      <c r="A17" s="13" t="s">
        <v>25</v>
      </c>
      <c r="B17" s="13" t="s">
        <v>245</v>
      </c>
      <c r="C17" s="13" t="s">
        <v>1947</v>
      </c>
      <c r="D17" s="13" t="s">
        <v>232</v>
      </c>
      <c r="J17" t="s">
        <v>25</v>
      </c>
      <c r="K17" t="s">
        <v>52</v>
      </c>
      <c r="L17" t="s">
        <v>32</v>
      </c>
      <c r="M17" t="s">
        <v>64</v>
      </c>
    </row>
    <row r="18" spans="1:13" x14ac:dyDescent="0.2">
      <c r="A18" s="13" t="s">
        <v>25</v>
      </c>
      <c r="B18" s="13" t="s">
        <v>40</v>
      </c>
      <c r="C18" s="13" t="s">
        <v>29</v>
      </c>
      <c r="D18" s="13" t="s">
        <v>46</v>
      </c>
      <c r="J18" t="s">
        <v>25</v>
      </c>
      <c r="K18" t="s">
        <v>53</v>
      </c>
      <c r="L18" t="s">
        <v>591</v>
      </c>
      <c r="M18" t="s">
        <v>65</v>
      </c>
    </row>
    <row r="19" spans="1:13" x14ac:dyDescent="0.2">
      <c r="A19" s="13" t="s">
        <v>25</v>
      </c>
      <c r="B19" s="13" t="s">
        <v>41</v>
      </c>
      <c r="C19" s="13" t="s">
        <v>588</v>
      </c>
      <c r="D19" s="13" t="s">
        <v>47</v>
      </c>
      <c r="J19" t="s">
        <v>25</v>
      </c>
      <c r="K19" t="s">
        <v>54</v>
      </c>
      <c r="L19" t="s">
        <v>585</v>
      </c>
      <c r="M19" t="s">
        <v>66</v>
      </c>
    </row>
    <row r="20" spans="1:13" x14ac:dyDescent="0.2">
      <c r="A20" s="13" t="s">
        <v>25</v>
      </c>
      <c r="B20" s="13" t="s">
        <v>42</v>
      </c>
      <c r="C20" s="13" t="s">
        <v>582</v>
      </c>
      <c r="D20" s="13" t="s">
        <v>48</v>
      </c>
      <c r="J20" t="s">
        <v>25</v>
      </c>
      <c r="K20" t="s">
        <v>55</v>
      </c>
      <c r="L20" t="s">
        <v>62</v>
      </c>
      <c r="M20" t="s">
        <v>67</v>
      </c>
    </row>
    <row r="21" spans="1:13" x14ac:dyDescent="0.2">
      <c r="A21" s="13" t="s">
        <v>25</v>
      </c>
      <c r="B21" s="13" t="s">
        <v>43</v>
      </c>
      <c r="C21" s="13" t="s">
        <v>59</v>
      </c>
      <c r="D21" s="13" t="s">
        <v>49</v>
      </c>
      <c r="J21" t="s">
        <v>25</v>
      </c>
      <c r="K21" t="s">
        <v>56</v>
      </c>
      <c r="L21" t="s">
        <v>56</v>
      </c>
      <c r="M21" t="s">
        <v>68</v>
      </c>
    </row>
    <row r="22" spans="1:13" x14ac:dyDescent="0.2">
      <c r="A22" s="13" t="s">
        <v>25</v>
      </c>
      <c r="B22" s="13" t="s">
        <v>44</v>
      </c>
      <c r="C22" s="13" t="s">
        <v>53</v>
      </c>
      <c r="D22" s="13" t="s">
        <v>50</v>
      </c>
      <c r="J22" t="s">
        <v>25</v>
      </c>
      <c r="K22" t="s">
        <v>57</v>
      </c>
      <c r="L22" t="s">
        <v>1918</v>
      </c>
      <c r="M22" t="s">
        <v>69</v>
      </c>
    </row>
    <row r="23" spans="1:13" x14ac:dyDescent="0.2">
      <c r="A23" s="13" t="s">
        <v>25</v>
      </c>
      <c r="B23" s="13" t="s">
        <v>33</v>
      </c>
      <c r="C23" s="13" t="s">
        <v>1909</v>
      </c>
      <c r="D23" s="13" t="s">
        <v>39</v>
      </c>
      <c r="J23" t="s">
        <v>25</v>
      </c>
      <c r="K23" t="s">
        <v>58</v>
      </c>
      <c r="L23" t="s">
        <v>33</v>
      </c>
      <c r="M23" t="s">
        <v>70</v>
      </c>
    </row>
    <row r="24" spans="1:13" x14ac:dyDescent="0.2">
      <c r="A24" s="13" t="s">
        <v>25</v>
      </c>
      <c r="B24" s="13" t="s">
        <v>100</v>
      </c>
      <c r="C24" s="13" t="s">
        <v>30</v>
      </c>
      <c r="D24" s="13" t="s">
        <v>106</v>
      </c>
      <c r="J24" t="s">
        <v>25</v>
      </c>
      <c r="K24" t="s">
        <v>59</v>
      </c>
      <c r="L24" t="s">
        <v>592</v>
      </c>
      <c r="M24" t="s">
        <v>71</v>
      </c>
    </row>
    <row r="25" spans="1:13" x14ac:dyDescent="0.2">
      <c r="A25" s="13" t="s">
        <v>25</v>
      </c>
      <c r="B25" s="13" t="s">
        <v>101</v>
      </c>
      <c r="C25" s="13" t="s">
        <v>589</v>
      </c>
      <c r="D25" s="13" t="s">
        <v>107</v>
      </c>
      <c r="J25" t="s">
        <v>25</v>
      </c>
      <c r="K25" t="s">
        <v>60</v>
      </c>
      <c r="L25" t="s">
        <v>586</v>
      </c>
      <c r="M25" t="s">
        <v>72</v>
      </c>
    </row>
    <row r="26" spans="1:13" x14ac:dyDescent="0.2">
      <c r="A26" s="13" t="s">
        <v>25</v>
      </c>
      <c r="B26" s="13" t="s">
        <v>102</v>
      </c>
      <c r="C26" s="13" t="s">
        <v>583</v>
      </c>
      <c r="D26" s="13" t="s">
        <v>108</v>
      </c>
      <c r="J26" t="s">
        <v>25</v>
      </c>
      <c r="K26" t="s">
        <v>61</v>
      </c>
      <c r="L26" t="s">
        <v>63</v>
      </c>
      <c r="M26" t="s">
        <v>73</v>
      </c>
    </row>
    <row r="27" spans="1:13" x14ac:dyDescent="0.2">
      <c r="A27" s="13" t="s">
        <v>25</v>
      </c>
      <c r="B27" s="13" t="s">
        <v>103</v>
      </c>
      <c r="C27" s="13" t="s">
        <v>60</v>
      </c>
      <c r="D27" s="13" t="s">
        <v>109</v>
      </c>
      <c r="J27" t="s">
        <v>25</v>
      </c>
      <c r="K27" t="s">
        <v>62</v>
      </c>
      <c r="L27" t="s">
        <v>57</v>
      </c>
      <c r="M27" t="s">
        <v>74</v>
      </c>
    </row>
    <row r="28" spans="1:13" ht="13.5" thickBot="1" x14ac:dyDescent="0.25">
      <c r="A28" s="14" t="s">
        <v>25</v>
      </c>
      <c r="B28" s="14" t="s">
        <v>104</v>
      </c>
      <c r="C28" s="13" t="s">
        <v>54</v>
      </c>
      <c r="D28" s="13" t="s">
        <v>110</v>
      </c>
      <c r="J28" t="s">
        <v>25</v>
      </c>
      <c r="K28" t="s">
        <v>63</v>
      </c>
      <c r="L28" t="s">
        <v>1919</v>
      </c>
      <c r="M28" t="s">
        <v>75</v>
      </c>
    </row>
    <row r="29" spans="1:13" x14ac:dyDescent="0.2">
      <c r="A29" s="13" t="s">
        <v>25</v>
      </c>
      <c r="B29" s="13" t="s">
        <v>105</v>
      </c>
      <c r="C29" s="13" t="s">
        <v>1915</v>
      </c>
      <c r="D29" s="13" t="s">
        <v>111</v>
      </c>
      <c r="J29" t="s">
        <v>26</v>
      </c>
      <c r="K29" t="s">
        <v>28</v>
      </c>
      <c r="L29" t="s">
        <v>102</v>
      </c>
      <c r="M29" t="s">
        <v>79</v>
      </c>
    </row>
    <row r="30" spans="1:13" x14ac:dyDescent="0.2">
      <c r="A30" s="13" t="s">
        <v>25</v>
      </c>
      <c r="B30" s="13" t="s">
        <v>28</v>
      </c>
      <c r="C30" s="13" t="s">
        <v>28</v>
      </c>
      <c r="D30" s="13" t="s">
        <v>34</v>
      </c>
      <c r="J30" t="s">
        <v>26</v>
      </c>
      <c r="K30" t="s">
        <v>29</v>
      </c>
      <c r="L30" t="s">
        <v>1927</v>
      </c>
      <c r="M30" t="s">
        <v>80</v>
      </c>
    </row>
    <row r="31" spans="1:13" x14ac:dyDescent="0.2">
      <c r="A31" s="13" t="s">
        <v>25</v>
      </c>
      <c r="B31" s="13" t="s">
        <v>29</v>
      </c>
      <c r="C31" s="13" t="s">
        <v>587</v>
      </c>
      <c r="D31" s="13" t="s">
        <v>35</v>
      </c>
      <c r="J31" t="s">
        <v>26</v>
      </c>
      <c r="K31" t="s">
        <v>30</v>
      </c>
      <c r="L31" t="s">
        <v>595</v>
      </c>
      <c r="M31" t="s">
        <v>84</v>
      </c>
    </row>
    <row r="32" spans="1:13" x14ac:dyDescent="0.2">
      <c r="A32" s="13" t="s">
        <v>25</v>
      </c>
      <c r="B32" s="13" t="s">
        <v>30</v>
      </c>
      <c r="C32" s="13" t="s">
        <v>581</v>
      </c>
      <c r="D32" s="13" t="s">
        <v>36</v>
      </c>
      <c r="J32" t="s">
        <v>26</v>
      </c>
      <c r="K32" t="s">
        <v>31</v>
      </c>
      <c r="L32" t="s">
        <v>1880</v>
      </c>
      <c r="M32" t="s">
        <v>88</v>
      </c>
    </row>
    <row r="33" spans="1:13" x14ac:dyDescent="0.2">
      <c r="A33" s="13" t="s">
        <v>25</v>
      </c>
      <c r="B33" s="13" t="s">
        <v>31</v>
      </c>
      <c r="C33" s="13" t="s">
        <v>58</v>
      </c>
      <c r="D33" s="13" t="s">
        <v>37</v>
      </c>
      <c r="J33" t="s">
        <v>26</v>
      </c>
      <c r="K33" t="s">
        <v>32</v>
      </c>
      <c r="L33" t="s">
        <v>114</v>
      </c>
      <c r="M33" t="s">
        <v>92</v>
      </c>
    </row>
    <row r="34" spans="1:13" x14ac:dyDescent="0.2">
      <c r="A34" s="13" t="s">
        <v>25</v>
      </c>
      <c r="B34" s="13" t="s">
        <v>32</v>
      </c>
      <c r="C34" s="13" t="s">
        <v>52</v>
      </c>
      <c r="D34" s="13" t="s">
        <v>38</v>
      </c>
      <c r="J34" t="s">
        <v>26</v>
      </c>
      <c r="K34" t="s">
        <v>33</v>
      </c>
      <c r="L34" t="s">
        <v>1928</v>
      </c>
      <c r="M34" t="s">
        <v>96</v>
      </c>
    </row>
    <row r="35" spans="1:13" x14ac:dyDescent="0.2">
      <c r="A35" s="15" t="s">
        <v>25</v>
      </c>
      <c r="B35" s="15" t="s">
        <v>592</v>
      </c>
      <c r="C35" s="13" t="s">
        <v>1488</v>
      </c>
      <c r="D35" s="13" t="s">
        <v>561</v>
      </c>
      <c r="J35" t="s">
        <v>26</v>
      </c>
      <c r="K35" t="s">
        <v>40</v>
      </c>
      <c r="L35" t="s">
        <v>103</v>
      </c>
      <c r="M35" t="s">
        <v>76</v>
      </c>
    </row>
    <row r="36" spans="1:13" x14ac:dyDescent="0.2">
      <c r="A36" s="15" t="s">
        <v>25</v>
      </c>
      <c r="B36" s="15" t="s">
        <v>605</v>
      </c>
      <c r="C36" s="13" t="s">
        <v>1513</v>
      </c>
      <c r="D36" s="13" t="s">
        <v>575</v>
      </c>
      <c r="J36" t="s">
        <v>26</v>
      </c>
      <c r="K36" t="s">
        <v>41</v>
      </c>
      <c r="L36" t="s">
        <v>1973</v>
      </c>
      <c r="M36" t="s">
        <v>81</v>
      </c>
    </row>
    <row r="37" spans="1:13" x14ac:dyDescent="0.2">
      <c r="A37" s="15" t="s">
        <v>25</v>
      </c>
      <c r="B37" s="15" t="s">
        <v>606</v>
      </c>
      <c r="C37" s="13" t="s">
        <v>1508</v>
      </c>
      <c r="D37" s="13" t="s">
        <v>576</v>
      </c>
      <c r="J37" t="s">
        <v>26</v>
      </c>
      <c r="K37" t="s">
        <v>42</v>
      </c>
      <c r="L37" t="s">
        <v>596</v>
      </c>
      <c r="M37" t="s">
        <v>85</v>
      </c>
    </row>
    <row r="38" spans="1:13" x14ac:dyDescent="0.2">
      <c r="A38" s="15" t="s">
        <v>25</v>
      </c>
      <c r="B38" s="15" t="s">
        <v>607</v>
      </c>
      <c r="C38" s="13" t="s">
        <v>1509</v>
      </c>
      <c r="D38" s="13" t="s">
        <v>577</v>
      </c>
      <c r="J38" t="s">
        <v>26</v>
      </c>
      <c r="K38" t="s">
        <v>43</v>
      </c>
      <c r="L38" t="s">
        <v>1881</v>
      </c>
      <c r="M38" t="s">
        <v>89</v>
      </c>
    </row>
    <row r="39" spans="1:13" x14ac:dyDescent="0.2">
      <c r="A39" s="13" t="s">
        <v>25</v>
      </c>
      <c r="B39" s="13" t="s">
        <v>608</v>
      </c>
      <c r="C39" s="13" t="s">
        <v>1510</v>
      </c>
      <c r="D39" s="13" t="s">
        <v>578</v>
      </c>
      <c r="J39" t="s">
        <v>26</v>
      </c>
      <c r="K39" t="s">
        <v>44</v>
      </c>
      <c r="L39" t="s">
        <v>115</v>
      </c>
      <c r="M39" t="s">
        <v>93</v>
      </c>
    </row>
    <row r="40" spans="1:13" x14ac:dyDescent="0.2">
      <c r="A40" s="15" t="s">
        <v>25</v>
      </c>
      <c r="B40" s="15" t="s">
        <v>609</v>
      </c>
      <c r="C40" s="13" t="s">
        <v>1511</v>
      </c>
      <c r="D40" s="13" t="s">
        <v>579</v>
      </c>
      <c r="J40" t="s">
        <v>26</v>
      </c>
      <c r="K40" t="s">
        <v>45</v>
      </c>
      <c r="L40" t="s">
        <v>1974</v>
      </c>
      <c r="M40" t="s">
        <v>97</v>
      </c>
    </row>
    <row r="41" spans="1:13" x14ac:dyDescent="0.2">
      <c r="A41" s="15" t="s">
        <v>25</v>
      </c>
      <c r="B41" s="15" t="s">
        <v>610</v>
      </c>
      <c r="C41" s="13" t="s">
        <v>1512</v>
      </c>
      <c r="D41" s="13" t="s">
        <v>580</v>
      </c>
      <c r="J41" t="s">
        <v>26</v>
      </c>
      <c r="K41" t="s">
        <v>52</v>
      </c>
      <c r="L41" t="s">
        <v>1929</v>
      </c>
      <c r="M41" t="s">
        <v>77</v>
      </c>
    </row>
    <row r="42" spans="1:13" x14ac:dyDescent="0.2">
      <c r="A42" s="15" t="s">
        <v>25</v>
      </c>
      <c r="B42" s="15" t="s">
        <v>587</v>
      </c>
      <c r="C42" s="13" t="s">
        <v>1495</v>
      </c>
      <c r="D42" s="13" t="s">
        <v>556</v>
      </c>
      <c r="J42" t="s">
        <v>26</v>
      </c>
      <c r="K42" t="s">
        <v>53</v>
      </c>
      <c r="L42" t="s">
        <v>1930</v>
      </c>
      <c r="M42" t="s">
        <v>82</v>
      </c>
    </row>
    <row r="43" spans="1:13" x14ac:dyDescent="0.2">
      <c r="A43" s="15" t="s">
        <v>25</v>
      </c>
      <c r="B43" s="15" t="s">
        <v>588</v>
      </c>
      <c r="C43" s="13" t="s">
        <v>1489</v>
      </c>
      <c r="D43" s="13" t="s">
        <v>557</v>
      </c>
      <c r="J43" t="s">
        <v>26</v>
      </c>
      <c r="K43" t="s">
        <v>54</v>
      </c>
      <c r="L43" t="s">
        <v>1931</v>
      </c>
      <c r="M43" t="s">
        <v>86</v>
      </c>
    </row>
    <row r="44" spans="1:13" x14ac:dyDescent="0.2">
      <c r="A44" s="15" t="s">
        <v>25</v>
      </c>
      <c r="B44" s="15" t="s">
        <v>589</v>
      </c>
      <c r="C44" s="13" t="s">
        <v>1493</v>
      </c>
      <c r="D44" s="13" t="s">
        <v>558</v>
      </c>
      <c r="J44" t="s">
        <v>26</v>
      </c>
      <c r="K44" t="s">
        <v>55</v>
      </c>
      <c r="L44" t="s">
        <v>1883</v>
      </c>
      <c r="M44" t="s">
        <v>90</v>
      </c>
    </row>
    <row r="45" spans="1:13" x14ac:dyDescent="0.2">
      <c r="A45" s="15" t="s">
        <v>25</v>
      </c>
      <c r="B45" s="15" t="s">
        <v>590</v>
      </c>
      <c r="C45" s="13" t="s">
        <v>1487</v>
      </c>
      <c r="D45" s="13" t="s">
        <v>559</v>
      </c>
      <c r="J45" t="s">
        <v>26</v>
      </c>
      <c r="K45" t="s">
        <v>56</v>
      </c>
      <c r="L45" t="s">
        <v>1932</v>
      </c>
      <c r="M45" t="s">
        <v>94</v>
      </c>
    </row>
    <row r="46" spans="1:13" x14ac:dyDescent="0.2">
      <c r="A46" s="15" t="s">
        <v>25</v>
      </c>
      <c r="B46" s="15" t="s">
        <v>591</v>
      </c>
      <c r="C46" s="13" t="s">
        <v>1494</v>
      </c>
      <c r="D46" s="13" t="s">
        <v>560</v>
      </c>
      <c r="J46" t="s">
        <v>26</v>
      </c>
      <c r="K46" t="s">
        <v>57</v>
      </c>
      <c r="L46" t="s">
        <v>1933</v>
      </c>
      <c r="M46" t="s">
        <v>98</v>
      </c>
    </row>
    <row r="47" spans="1:13" x14ac:dyDescent="0.2">
      <c r="A47" s="15" t="s">
        <v>25</v>
      </c>
      <c r="B47" s="15" t="s">
        <v>586</v>
      </c>
      <c r="C47" s="13" t="s">
        <v>1484</v>
      </c>
      <c r="D47" s="13" t="s">
        <v>555</v>
      </c>
      <c r="J47" t="s">
        <v>26</v>
      </c>
      <c r="K47" t="s">
        <v>58</v>
      </c>
      <c r="L47" t="s">
        <v>1968</v>
      </c>
      <c r="M47" t="s">
        <v>78</v>
      </c>
    </row>
    <row r="48" spans="1:13" x14ac:dyDescent="0.2">
      <c r="A48" s="15" t="s">
        <v>25</v>
      </c>
      <c r="B48" s="15" t="s">
        <v>593</v>
      </c>
      <c r="C48" s="13" t="s">
        <v>1501</v>
      </c>
      <c r="D48" s="13" t="s">
        <v>562</v>
      </c>
      <c r="J48" t="s">
        <v>26</v>
      </c>
      <c r="K48" t="s">
        <v>59</v>
      </c>
      <c r="L48" t="s">
        <v>1969</v>
      </c>
      <c r="M48" t="s">
        <v>83</v>
      </c>
    </row>
    <row r="49" spans="1:13" x14ac:dyDescent="0.2">
      <c r="A49" s="13" t="s">
        <v>25</v>
      </c>
      <c r="B49" s="13" t="s">
        <v>594</v>
      </c>
      <c r="C49" s="13" t="s">
        <v>1496</v>
      </c>
      <c r="D49" s="13" t="s">
        <v>563</v>
      </c>
      <c r="J49" t="s">
        <v>26</v>
      </c>
      <c r="K49" t="s">
        <v>60</v>
      </c>
      <c r="L49" t="s">
        <v>1970</v>
      </c>
      <c r="M49" t="s">
        <v>87</v>
      </c>
    </row>
    <row r="50" spans="1:13" x14ac:dyDescent="0.2">
      <c r="A50" s="15" t="s">
        <v>25</v>
      </c>
      <c r="B50" s="15" t="s">
        <v>595</v>
      </c>
      <c r="C50" s="13" t="s">
        <v>1497</v>
      </c>
      <c r="D50" s="13" t="s">
        <v>564</v>
      </c>
      <c r="J50" t="s">
        <v>26</v>
      </c>
      <c r="K50" t="s">
        <v>61</v>
      </c>
      <c r="L50" t="s">
        <v>1884</v>
      </c>
      <c r="M50" t="s">
        <v>91</v>
      </c>
    </row>
    <row r="51" spans="1:13" x14ac:dyDescent="0.2">
      <c r="A51" s="15" t="s">
        <v>25</v>
      </c>
      <c r="B51" s="15" t="s">
        <v>596</v>
      </c>
      <c r="C51" s="13" t="s">
        <v>1498</v>
      </c>
      <c r="D51" s="13" t="s">
        <v>565</v>
      </c>
      <c r="J51" t="s">
        <v>26</v>
      </c>
      <c r="K51" t="s">
        <v>62</v>
      </c>
      <c r="L51" t="s">
        <v>1971</v>
      </c>
      <c r="M51" t="s">
        <v>95</v>
      </c>
    </row>
    <row r="52" spans="1:13" ht="13.5" thickBot="1" x14ac:dyDescent="0.25">
      <c r="A52" s="14" t="s">
        <v>25</v>
      </c>
      <c r="B52" s="14" t="s">
        <v>597</v>
      </c>
      <c r="C52" s="13" t="s">
        <v>1499</v>
      </c>
      <c r="D52" s="13" t="s">
        <v>566</v>
      </c>
      <c r="J52" t="s">
        <v>26</v>
      </c>
      <c r="K52" t="s">
        <v>63</v>
      </c>
      <c r="L52" t="s">
        <v>1972</v>
      </c>
      <c r="M52" t="s">
        <v>99</v>
      </c>
    </row>
    <row r="53" spans="1:13" x14ac:dyDescent="0.2">
      <c r="A53" s="15" t="s">
        <v>25</v>
      </c>
      <c r="B53" s="15" t="s">
        <v>598</v>
      </c>
      <c r="C53" s="13" t="s">
        <v>1500</v>
      </c>
      <c r="D53" s="13" t="s">
        <v>567</v>
      </c>
      <c r="J53" t="s">
        <v>25</v>
      </c>
      <c r="K53" t="s">
        <v>100</v>
      </c>
      <c r="L53" t="s">
        <v>30</v>
      </c>
      <c r="M53" t="s">
        <v>106</v>
      </c>
    </row>
    <row r="54" spans="1:13" x14ac:dyDescent="0.2">
      <c r="A54" s="15" t="s">
        <v>25</v>
      </c>
      <c r="B54" s="15" t="s">
        <v>599</v>
      </c>
      <c r="C54" s="13" t="s">
        <v>1507</v>
      </c>
      <c r="D54" s="13" t="s">
        <v>568</v>
      </c>
      <c r="J54" t="s">
        <v>25</v>
      </c>
      <c r="K54" t="s">
        <v>101</v>
      </c>
      <c r="L54" t="s">
        <v>589</v>
      </c>
      <c r="M54" t="s">
        <v>107</v>
      </c>
    </row>
    <row r="55" spans="1:13" x14ac:dyDescent="0.2">
      <c r="A55" s="15" t="s">
        <v>25</v>
      </c>
      <c r="B55" s="15" t="s">
        <v>600</v>
      </c>
      <c r="C55" s="13" t="s">
        <v>1502</v>
      </c>
      <c r="D55" s="13" t="s">
        <v>569</v>
      </c>
      <c r="J55" t="s">
        <v>25</v>
      </c>
      <c r="K55" t="s">
        <v>102</v>
      </c>
      <c r="L55" t="s">
        <v>583</v>
      </c>
      <c r="M55" t="s">
        <v>108</v>
      </c>
    </row>
    <row r="56" spans="1:13" x14ac:dyDescent="0.2">
      <c r="A56" s="15" t="s">
        <v>25</v>
      </c>
      <c r="B56" s="15" t="s">
        <v>601</v>
      </c>
      <c r="C56" s="13" t="s">
        <v>1503</v>
      </c>
      <c r="D56" s="13" t="s">
        <v>570</v>
      </c>
      <c r="J56" t="s">
        <v>25</v>
      </c>
      <c r="K56" t="s">
        <v>103</v>
      </c>
      <c r="L56" t="s">
        <v>60</v>
      </c>
      <c r="M56" t="s">
        <v>109</v>
      </c>
    </row>
    <row r="57" spans="1:13" x14ac:dyDescent="0.2">
      <c r="A57" s="13" t="s">
        <v>25</v>
      </c>
      <c r="B57" s="13" t="s">
        <v>602</v>
      </c>
      <c r="C57" s="13" t="s">
        <v>1504</v>
      </c>
      <c r="D57" s="13" t="s">
        <v>571</v>
      </c>
      <c r="J57" t="s">
        <v>25</v>
      </c>
      <c r="K57" t="s">
        <v>104</v>
      </c>
      <c r="L57" t="s">
        <v>54</v>
      </c>
      <c r="M57" t="s">
        <v>110</v>
      </c>
    </row>
    <row r="58" spans="1:13" x14ac:dyDescent="0.2">
      <c r="A58" s="15" t="s">
        <v>25</v>
      </c>
      <c r="B58" s="15" t="s">
        <v>603</v>
      </c>
      <c r="C58" s="13" t="s">
        <v>1505</v>
      </c>
      <c r="D58" s="13" t="s">
        <v>572</v>
      </c>
      <c r="J58" t="s">
        <v>25</v>
      </c>
      <c r="K58" t="s">
        <v>105</v>
      </c>
      <c r="L58" t="s">
        <v>1915</v>
      </c>
      <c r="M58" t="s">
        <v>111</v>
      </c>
    </row>
    <row r="59" spans="1:13" x14ac:dyDescent="0.2">
      <c r="A59" s="15" t="s">
        <v>25</v>
      </c>
      <c r="B59" s="15" t="s">
        <v>604</v>
      </c>
      <c r="C59" s="13" t="s">
        <v>1506</v>
      </c>
      <c r="D59" s="13" t="s">
        <v>573</v>
      </c>
      <c r="J59" t="s">
        <v>25</v>
      </c>
      <c r="K59" t="s">
        <v>112</v>
      </c>
      <c r="L59" t="s">
        <v>1920</v>
      </c>
      <c r="M59" t="s">
        <v>118</v>
      </c>
    </row>
    <row r="60" spans="1:13" x14ac:dyDescent="0.2">
      <c r="A60" s="13" t="s">
        <v>25</v>
      </c>
      <c r="B60" s="13" t="s">
        <v>136</v>
      </c>
      <c r="C60" s="13" t="s">
        <v>1938</v>
      </c>
      <c r="D60" s="13" t="s">
        <v>147</v>
      </c>
      <c r="J60" t="s">
        <v>25</v>
      </c>
      <c r="K60" t="s">
        <v>113</v>
      </c>
      <c r="L60" t="s">
        <v>1921</v>
      </c>
      <c r="M60" t="s">
        <v>119</v>
      </c>
    </row>
    <row r="61" spans="1:13" x14ac:dyDescent="0.2">
      <c r="A61" s="15" t="s">
        <v>25</v>
      </c>
      <c r="B61" s="15" t="s">
        <v>136</v>
      </c>
      <c r="C61" s="13" t="s">
        <v>2079</v>
      </c>
      <c r="D61" s="13" t="s">
        <v>376</v>
      </c>
      <c r="J61" t="s">
        <v>25</v>
      </c>
      <c r="K61" t="s">
        <v>114</v>
      </c>
      <c r="L61" t="s">
        <v>1922</v>
      </c>
      <c r="M61" t="s">
        <v>120</v>
      </c>
    </row>
    <row r="62" spans="1:13" x14ac:dyDescent="0.2">
      <c r="A62" s="13" t="s">
        <v>25</v>
      </c>
      <c r="B62" s="13" t="s">
        <v>137</v>
      </c>
      <c r="C62" s="13" t="s">
        <v>1934</v>
      </c>
      <c r="D62" s="13" t="s">
        <v>142</v>
      </c>
      <c r="J62" t="s">
        <v>25</v>
      </c>
      <c r="K62" t="s">
        <v>115</v>
      </c>
      <c r="L62" t="s">
        <v>1875</v>
      </c>
      <c r="M62" t="s">
        <v>121</v>
      </c>
    </row>
    <row r="63" spans="1:13" x14ac:dyDescent="0.2">
      <c r="A63" s="15" t="s">
        <v>25</v>
      </c>
      <c r="B63" s="15" t="s">
        <v>137</v>
      </c>
      <c r="C63" s="13" t="s">
        <v>2064</v>
      </c>
      <c r="D63" s="13" t="s">
        <v>377</v>
      </c>
      <c r="J63" t="s">
        <v>25</v>
      </c>
      <c r="K63" t="s">
        <v>116</v>
      </c>
      <c r="L63" t="s">
        <v>1923</v>
      </c>
      <c r="M63" t="s">
        <v>122</v>
      </c>
    </row>
    <row r="64" spans="1:13" ht="13.5" thickBot="1" x14ac:dyDescent="0.25">
      <c r="A64" s="14" t="s">
        <v>25</v>
      </c>
      <c r="B64" s="14" t="s">
        <v>138</v>
      </c>
      <c r="C64" s="13" t="s">
        <v>1935</v>
      </c>
      <c r="D64" s="13" t="s">
        <v>143</v>
      </c>
      <c r="J64" t="s">
        <v>25</v>
      </c>
      <c r="K64" t="s">
        <v>117</v>
      </c>
      <c r="L64" t="s">
        <v>1924</v>
      </c>
      <c r="M64" t="s">
        <v>123</v>
      </c>
    </row>
    <row r="65" spans="1:13" x14ac:dyDescent="0.2">
      <c r="A65" s="15" t="s">
        <v>25</v>
      </c>
      <c r="B65" s="15" t="s">
        <v>138</v>
      </c>
      <c r="C65" s="13" t="s">
        <v>2061</v>
      </c>
      <c r="D65" s="13" t="s">
        <v>378</v>
      </c>
      <c r="J65" t="s">
        <v>26</v>
      </c>
      <c r="K65" t="s">
        <v>100</v>
      </c>
      <c r="L65" t="s">
        <v>104</v>
      </c>
      <c r="M65" t="s">
        <v>124</v>
      </c>
    </row>
    <row r="66" spans="1:13" x14ac:dyDescent="0.2">
      <c r="A66" s="13" t="s">
        <v>25</v>
      </c>
      <c r="B66" s="13" t="s">
        <v>139</v>
      </c>
      <c r="C66" s="13" t="s">
        <v>1876</v>
      </c>
      <c r="D66" s="13" t="s">
        <v>144</v>
      </c>
      <c r="J66" t="s">
        <v>26</v>
      </c>
      <c r="K66" t="s">
        <v>101</v>
      </c>
      <c r="L66" t="s">
        <v>1925</v>
      </c>
      <c r="M66" t="s">
        <v>125</v>
      </c>
    </row>
    <row r="67" spans="1:13" x14ac:dyDescent="0.2">
      <c r="A67" s="13" t="s">
        <v>25</v>
      </c>
      <c r="B67" s="13" t="s">
        <v>139</v>
      </c>
      <c r="C67" s="13" t="s">
        <v>1903</v>
      </c>
      <c r="D67" s="13" t="s">
        <v>379</v>
      </c>
      <c r="J67" t="s">
        <v>26</v>
      </c>
      <c r="K67" t="s">
        <v>102</v>
      </c>
      <c r="L67" t="s">
        <v>597</v>
      </c>
      <c r="M67" t="s">
        <v>126</v>
      </c>
    </row>
    <row r="68" spans="1:13" x14ac:dyDescent="0.2">
      <c r="A68" s="13" t="s">
        <v>25</v>
      </c>
      <c r="B68" s="13" t="s">
        <v>140</v>
      </c>
      <c r="C68" s="13" t="s">
        <v>1936</v>
      </c>
      <c r="D68" s="13" t="s">
        <v>145</v>
      </c>
      <c r="J68" t="s">
        <v>26</v>
      </c>
      <c r="K68" t="s">
        <v>103</v>
      </c>
      <c r="L68" t="s">
        <v>1882</v>
      </c>
      <c r="M68" t="s">
        <v>127</v>
      </c>
    </row>
    <row r="69" spans="1:13" x14ac:dyDescent="0.2">
      <c r="A69" s="15" t="s">
        <v>25</v>
      </c>
      <c r="B69" s="15" t="s">
        <v>140</v>
      </c>
      <c r="C69" s="13" t="s">
        <v>2062</v>
      </c>
      <c r="D69" s="13" t="s">
        <v>380</v>
      </c>
      <c r="J69" t="s">
        <v>26</v>
      </c>
      <c r="K69" t="s">
        <v>104</v>
      </c>
      <c r="L69" t="s">
        <v>116</v>
      </c>
      <c r="M69" t="s">
        <v>128</v>
      </c>
    </row>
    <row r="70" spans="1:13" x14ac:dyDescent="0.2">
      <c r="A70" s="15" t="s">
        <v>25</v>
      </c>
      <c r="B70" s="15" t="s">
        <v>581</v>
      </c>
      <c r="C70" s="13" t="s">
        <v>1492</v>
      </c>
      <c r="D70" s="13" t="s">
        <v>550</v>
      </c>
      <c r="J70" t="s">
        <v>26</v>
      </c>
      <c r="K70" t="s">
        <v>105</v>
      </c>
      <c r="L70" t="s">
        <v>1926</v>
      </c>
      <c r="M70" t="s">
        <v>129</v>
      </c>
    </row>
    <row r="71" spans="1:13" x14ac:dyDescent="0.2">
      <c r="A71" s="13" t="s">
        <v>25</v>
      </c>
      <c r="B71" s="13" t="s">
        <v>141</v>
      </c>
      <c r="C71" s="13" t="s">
        <v>1937</v>
      </c>
      <c r="D71" s="13" t="s">
        <v>146</v>
      </c>
      <c r="J71" t="s">
        <v>26</v>
      </c>
      <c r="K71" t="s">
        <v>112</v>
      </c>
      <c r="L71" t="s">
        <v>1939</v>
      </c>
      <c r="M71" t="s">
        <v>135</v>
      </c>
    </row>
    <row r="72" spans="1:13" x14ac:dyDescent="0.2">
      <c r="A72" s="15" t="s">
        <v>25</v>
      </c>
      <c r="B72" s="15" t="s">
        <v>141</v>
      </c>
      <c r="C72" s="13" t="s">
        <v>2063</v>
      </c>
      <c r="D72" s="13" t="s">
        <v>381</v>
      </c>
      <c r="J72" t="s">
        <v>26</v>
      </c>
      <c r="K72" t="s">
        <v>113</v>
      </c>
      <c r="L72" t="s">
        <v>1940</v>
      </c>
      <c r="M72" t="s">
        <v>130</v>
      </c>
    </row>
    <row r="73" spans="1:13" x14ac:dyDescent="0.2">
      <c r="A73" s="13" t="s">
        <v>25</v>
      </c>
      <c r="B73" s="13" t="s">
        <v>414</v>
      </c>
      <c r="C73" s="13" t="s">
        <v>1382</v>
      </c>
      <c r="D73" s="13" t="s">
        <v>444</v>
      </c>
      <c r="J73" t="s">
        <v>26</v>
      </c>
      <c r="K73" t="s">
        <v>114</v>
      </c>
      <c r="L73" t="s">
        <v>1941</v>
      </c>
      <c r="M73" t="s">
        <v>131</v>
      </c>
    </row>
    <row r="74" spans="1:13" x14ac:dyDescent="0.2">
      <c r="A74" s="15" t="s">
        <v>25</v>
      </c>
      <c r="B74" s="15" t="s">
        <v>415</v>
      </c>
      <c r="C74" s="13" t="s">
        <v>1377</v>
      </c>
      <c r="D74" s="13" t="s">
        <v>445</v>
      </c>
      <c r="J74" t="s">
        <v>26</v>
      </c>
      <c r="K74" t="s">
        <v>115</v>
      </c>
      <c r="L74" t="s">
        <v>1885</v>
      </c>
      <c r="M74" t="s">
        <v>132</v>
      </c>
    </row>
    <row r="75" spans="1:13" x14ac:dyDescent="0.2">
      <c r="A75" s="15" t="s">
        <v>25</v>
      </c>
      <c r="B75" s="15" t="s">
        <v>416</v>
      </c>
      <c r="C75" s="13" t="s">
        <v>1378</v>
      </c>
      <c r="D75" s="13" t="s">
        <v>446</v>
      </c>
      <c r="J75" t="s">
        <v>26</v>
      </c>
      <c r="K75" t="s">
        <v>116</v>
      </c>
      <c r="L75" t="s">
        <v>1942</v>
      </c>
      <c r="M75" t="s">
        <v>133</v>
      </c>
    </row>
    <row r="76" spans="1:13" ht="13.5" thickBot="1" x14ac:dyDescent="0.25">
      <c r="A76" s="14" t="s">
        <v>25</v>
      </c>
      <c r="B76" s="14" t="s">
        <v>417</v>
      </c>
      <c r="C76" s="13" t="s">
        <v>1379</v>
      </c>
      <c r="D76" s="13" t="s">
        <v>447</v>
      </c>
      <c r="J76" t="s">
        <v>26</v>
      </c>
      <c r="K76" t="s">
        <v>117</v>
      </c>
      <c r="L76" t="s">
        <v>1943</v>
      </c>
      <c r="M76" t="s">
        <v>134</v>
      </c>
    </row>
    <row r="77" spans="1:13" x14ac:dyDescent="0.2">
      <c r="A77" s="15" t="s">
        <v>25</v>
      </c>
      <c r="B77" s="15" t="s">
        <v>418</v>
      </c>
      <c r="C77" s="13" t="s">
        <v>1380</v>
      </c>
      <c r="D77" s="13" t="s">
        <v>448</v>
      </c>
      <c r="J77" t="s">
        <v>25</v>
      </c>
      <c r="K77" t="s">
        <v>136</v>
      </c>
      <c r="L77" t="s">
        <v>1938</v>
      </c>
      <c r="M77" t="s">
        <v>147</v>
      </c>
    </row>
    <row r="78" spans="1:13" x14ac:dyDescent="0.2">
      <c r="A78" s="15" t="s">
        <v>25</v>
      </c>
      <c r="B78" s="15" t="s">
        <v>419</v>
      </c>
      <c r="C78" s="13" t="s">
        <v>1381</v>
      </c>
      <c r="D78" s="13" t="s">
        <v>449</v>
      </c>
      <c r="J78" t="s">
        <v>25</v>
      </c>
      <c r="K78" t="s">
        <v>137</v>
      </c>
      <c r="L78" t="s">
        <v>1934</v>
      </c>
      <c r="M78" t="s">
        <v>142</v>
      </c>
    </row>
    <row r="79" spans="1:13" x14ac:dyDescent="0.2">
      <c r="A79" s="15" t="s">
        <v>25</v>
      </c>
      <c r="B79" s="15" t="s">
        <v>582</v>
      </c>
      <c r="C79" s="13" t="s">
        <v>1482</v>
      </c>
      <c r="D79" s="13" t="s">
        <v>551</v>
      </c>
      <c r="J79" t="s">
        <v>25</v>
      </c>
      <c r="K79" t="s">
        <v>138</v>
      </c>
      <c r="L79" t="s">
        <v>1935</v>
      </c>
      <c r="M79" t="s">
        <v>143</v>
      </c>
    </row>
    <row r="80" spans="1:13" x14ac:dyDescent="0.2">
      <c r="A80" s="15" t="s">
        <v>25</v>
      </c>
      <c r="B80" s="15" t="s">
        <v>583</v>
      </c>
      <c r="C80" s="13" t="s">
        <v>1490</v>
      </c>
      <c r="D80" s="13" t="s">
        <v>552</v>
      </c>
      <c r="J80" t="s">
        <v>25</v>
      </c>
      <c r="K80" t="s">
        <v>139</v>
      </c>
      <c r="L80" t="s">
        <v>1876</v>
      </c>
      <c r="M80" t="s">
        <v>144</v>
      </c>
    </row>
    <row r="81" spans="1:13" x14ac:dyDescent="0.2">
      <c r="A81" s="15" t="s">
        <v>25</v>
      </c>
      <c r="B81" s="15" t="s">
        <v>584</v>
      </c>
      <c r="C81" s="13" t="s">
        <v>1483</v>
      </c>
      <c r="D81" s="13" t="s">
        <v>553</v>
      </c>
      <c r="J81" t="s">
        <v>25</v>
      </c>
      <c r="K81" t="s">
        <v>140</v>
      </c>
      <c r="L81" t="s">
        <v>1936</v>
      </c>
      <c r="M81" t="s">
        <v>145</v>
      </c>
    </row>
    <row r="82" spans="1:13" x14ac:dyDescent="0.2">
      <c r="A82" s="15" t="s">
        <v>25</v>
      </c>
      <c r="B82" s="15" t="s">
        <v>585</v>
      </c>
      <c r="C82" s="13" t="s">
        <v>1491</v>
      </c>
      <c r="D82" s="13" t="s">
        <v>554</v>
      </c>
      <c r="J82" t="s">
        <v>25</v>
      </c>
      <c r="K82" t="s">
        <v>141</v>
      </c>
      <c r="L82" t="s">
        <v>1937</v>
      </c>
      <c r="M82" t="s">
        <v>146</v>
      </c>
    </row>
    <row r="83" spans="1:13" x14ac:dyDescent="0.2">
      <c r="A83" s="13" t="s">
        <v>25</v>
      </c>
      <c r="B83" s="13" t="s">
        <v>63</v>
      </c>
      <c r="C83" s="13" t="s">
        <v>1919</v>
      </c>
      <c r="D83" s="13" t="s">
        <v>75</v>
      </c>
      <c r="J83" t="s">
        <v>26</v>
      </c>
      <c r="K83" t="s">
        <v>136</v>
      </c>
      <c r="L83" t="s">
        <v>1956</v>
      </c>
      <c r="M83" t="s">
        <v>147</v>
      </c>
    </row>
    <row r="84" spans="1:13" x14ac:dyDescent="0.2">
      <c r="A84" s="13" t="s">
        <v>25</v>
      </c>
      <c r="B84" s="13" t="s">
        <v>246</v>
      </c>
      <c r="C84" s="13" t="s">
        <v>1955</v>
      </c>
      <c r="D84" s="13" t="s">
        <v>233</v>
      </c>
      <c r="J84" t="s">
        <v>26</v>
      </c>
      <c r="K84" t="s">
        <v>137</v>
      </c>
      <c r="L84" t="s">
        <v>1957</v>
      </c>
      <c r="M84" t="s">
        <v>142</v>
      </c>
    </row>
    <row r="85" spans="1:13" x14ac:dyDescent="0.2">
      <c r="A85" s="13" t="s">
        <v>25</v>
      </c>
      <c r="B85" s="13" t="s">
        <v>247</v>
      </c>
      <c r="C85" s="13" t="s">
        <v>1951</v>
      </c>
      <c r="D85" s="13" t="s">
        <v>234</v>
      </c>
      <c r="J85" t="s">
        <v>26</v>
      </c>
      <c r="K85" t="s">
        <v>138</v>
      </c>
      <c r="L85" t="s">
        <v>1958</v>
      </c>
      <c r="M85" t="s">
        <v>143</v>
      </c>
    </row>
    <row r="86" spans="1:13" x14ac:dyDescent="0.2">
      <c r="A86" s="13" t="s">
        <v>25</v>
      </c>
      <c r="B86" s="13" t="s">
        <v>248</v>
      </c>
      <c r="C86" s="13" t="s">
        <v>1952</v>
      </c>
      <c r="D86" s="13" t="s">
        <v>235</v>
      </c>
      <c r="J86" t="s">
        <v>26</v>
      </c>
      <c r="K86" t="s">
        <v>139</v>
      </c>
      <c r="L86" t="s">
        <v>1886</v>
      </c>
      <c r="M86" t="s">
        <v>144</v>
      </c>
    </row>
    <row r="87" spans="1:13" x14ac:dyDescent="0.2">
      <c r="A87" s="13" t="s">
        <v>25</v>
      </c>
      <c r="B87" s="13" t="s">
        <v>249</v>
      </c>
      <c r="C87" s="13" t="s">
        <v>1878</v>
      </c>
      <c r="D87" s="13" t="s">
        <v>236</v>
      </c>
      <c r="J87" t="s">
        <v>26</v>
      </c>
      <c r="K87" t="s">
        <v>140</v>
      </c>
      <c r="L87" t="s">
        <v>1959</v>
      </c>
      <c r="M87" t="s">
        <v>145</v>
      </c>
    </row>
    <row r="88" spans="1:13" ht="13.5" thickBot="1" x14ac:dyDescent="0.25">
      <c r="A88" s="14" t="s">
        <v>25</v>
      </c>
      <c r="B88" s="14" t="s">
        <v>250</v>
      </c>
      <c r="C88" s="13" t="s">
        <v>1953</v>
      </c>
      <c r="D88" s="13" t="s">
        <v>237</v>
      </c>
      <c r="J88" t="s">
        <v>26</v>
      </c>
      <c r="K88" t="s">
        <v>141</v>
      </c>
      <c r="L88" t="s">
        <v>1960</v>
      </c>
      <c r="M88" t="s">
        <v>146</v>
      </c>
    </row>
    <row r="89" spans="1:13" x14ac:dyDescent="0.2">
      <c r="A89" s="13" t="s">
        <v>25</v>
      </c>
      <c r="B89" s="13" t="s">
        <v>251</v>
      </c>
      <c r="C89" s="13" t="s">
        <v>1954</v>
      </c>
      <c r="D89" s="13" t="s">
        <v>238</v>
      </c>
      <c r="J89" t="s">
        <v>25</v>
      </c>
      <c r="K89" t="s">
        <v>240</v>
      </c>
      <c r="L89" t="s">
        <v>1948</v>
      </c>
      <c r="M89" t="s">
        <v>239</v>
      </c>
    </row>
    <row r="90" spans="1:13" x14ac:dyDescent="0.2">
      <c r="A90" s="13" t="s">
        <v>25</v>
      </c>
      <c r="B90" s="13" t="s">
        <v>58</v>
      </c>
      <c r="C90" s="13" t="s">
        <v>33</v>
      </c>
      <c r="D90" s="13" t="s">
        <v>70</v>
      </c>
      <c r="J90" t="s">
        <v>25</v>
      </c>
      <c r="K90" t="s">
        <v>241</v>
      </c>
      <c r="L90" t="s">
        <v>1944</v>
      </c>
      <c r="M90" t="s">
        <v>228</v>
      </c>
    </row>
    <row r="91" spans="1:13" x14ac:dyDescent="0.2">
      <c r="A91" s="13" t="s">
        <v>25</v>
      </c>
      <c r="B91" s="13" t="s">
        <v>59</v>
      </c>
      <c r="C91" s="13" t="s">
        <v>592</v>
      </c>
      <c r="D91" s="13" t="s">
        <v>71</v>
      </c>
      <c r="J91" t="s">
        <v>25</v>
      </c>
      <c r="K91" t="s">
        <v>242</v>
      </c>
      <c r="L91" t="s">
        <v>1945</v>
      </c>
      <c r="M91" t="s">
        <v>229</v>
      </c>
    </row>
    <row r="92" spans="1:13" x14ac:dyDescent="0.2">
      <c r="A92" s="13" t="s">
        <v>25</v>
      </c>
      <c r="B92" s="13" t="s">
        <v>60</v>
      </c>
      <c r="C92" s="13" t="s">
        <v>586</v>
      </c>
      <c r="D92" s="13" t="s">
        <v>72</v>
      </c>
      <c r="J92" t="s">
        <v>25</v>
      </c>
      <c r="K92" t="s">
        <v>243</v>
      </c>
      <c r="L92" t="s">
        <v>1877</v>
      </c>
      <c r="M92" t="s">
        <v>230</v>
      </c>
    </row>
    <row r="93" spans="1:13" x14ac:dyDescent="0.2">
      <c r="A93" s="13" t="s">
        <v>25</v>
      </c>
      <c r="B93" s="13" t="s">
        <v>61</v>
      </c>
      <c r="C93" s="13" t="s">
        <v>63</v>
      </c>
      <c r="D93" s="13" t="s">
        <v>73</v>
      </c>
      <c r="J93" t="s">
        <v>25</v>
      </c>
      <c r="K93" t="s">
        <v>244</v>
      </c>
      <c r="L93" t="s">
        <v>1946</v>
      </c>
      <c r="M93" t="s">
        <v>231</v>
      </c>
    </row>
    <row r="94" spans="1:13" x14ac:dyDescent="0.2">
      <c r="A94" s="13" t="s">
        <v>25</v>
      </c>
      <c r="B94" s="13" t="s">
        <v>62</v>
      </c>
      <c r="C94" s="13" t="s">
        <v>57</v>
      </c>
      <c r="D94" s="13" t="s">
        <v>74</v>
      </c>
      <c r="J94" t="s">
        <v>25</v>
      </c>
      <c r="K94" t="s">
        <v>245</v>
      </c>
      <c r="L94" t="s">
        <v>1947</v>
      </c>
      <c r="M94" t="s">
        <v>232</v>
      </c>
    </row>
    <row r="95" spans="1:13" x14ac:dyDescent="0.2">
      <c r="A95" s="13" t="s">
        <v>25</v>
      </c>
      <c r="B95" s="13" t="s">
        <v>57</v>
      </c>
      <c r="C95" s="13" t="s">
        <v>1918</v>
      </c>
      <c r="D95" s="13" t="s">
        <v>69</v>
      </c>
      <c r="J95" t="s">
        <v>25</v>
      </c>
      <c r="K95" t="s">
        <v>246</v>
      </c>
      <c r="L95" t="s">
        <v>1955</v>
      </c>
      <c r="M95" t="s">
        <v>233</v>
      </c>
    </row>
    <row r="96" spans="1:13" x14ac:dyDescent="0.2">
      <c r="A96" s="13" t="s">
        <v>25</v>
      </c>
      <c r="B96" s="13" t="s">
        <v>112</v>
      </c>
      <c r="C96" s="13" t="s">
        <v>1920</v>
      </c>
      <c r="D96" s="13" t="s">
        <v>118</v>
      </c>
      <c r="J96" t="s">
        <v>25</v>
      </c>
      <c r="K96" t="s">
        <v>247</v>
      </c>
      <c r="L96" t="s">
        <v>1951</v>
      </c>
      <c r="M96" t="s">
        <v>234</v>
      </c>
    </row>
    <row r="97" spans="1:13" x14ac:dyDescent="0.2">
      <c r="A97" s="13" t="s">
        <v>25</v>
      </c>
      <c r="B97" s="13" t="s">
        <v>113</v>
      </c>
      <c r="C97" s="13" t="s">
        <v>1921</v>
      </c>
      <c r="D97" s="13" t="s">
        <v>119</v>
      </c>
      <c r="J97" t="s">
        <v>25</v>
      </c>
      <c r="K97" t="s">
        <v>248</v>
      </c>
      <c r="L97" t="s">
        <v>1952</v>
      </c>
      <c r="M97" t="s">
        <v>235</v>
      </c>
    </row>
    <row r="98" spans="1:13" x14ac:dyDescent="0.2">
      <c r="A98" s="13" t="s">
        <v>25</v>
      </c>
      <c r="B98" s="13" t="s">
        <v>114</v>
      </c>
      <c r="C98" s="13" t="s">
        <v>1922</v>
      </c>
      <c r="D98" s="13" t="s">
        <v>120</v>
      </c>
      <c r="J98" t="s">
        <v>25</v>
      </c>
      <c r="K98" t="s">
        <v>249</v>
      </c>
      <c r="L98" t="s">
        <v>1878</v>
      </c>
      <c r="M98" t="s">
        <v>236</v>
      </c>
    </row>
    <row r="99" spans="1:13" x14ac:dyDescent="0.2">
      <c r="A99" s="13" t="s">
        <v>25</v>
      </c>
      <c r="B99" s="13" t="s">
        <v>115</v>
      </c>
      <c r="C99" s="13" t="s">
        <v>1875</v>
      </c>
      <c r="D99" s="13" t="s">
        <v>121</v>
      </c>
      <c r="J99" t="s">
        <v>25</v>
      </c>
      <c r="K99" t="s">
        <v>250</v>
      </c>
      <c r="L99" t="s">
        <v>1953</v>
      </c>
      <c r="M99" t="s">
        <v>237</v>
      </c>
    </row>
    <row r="100" spans="1:13" ht="13.5" thickBot="1" x14ac:dyDescent="0.25">
      <c r="A100" s="14" t="s">
        <v>25</v>
      </c>
      <c r="B100" s="14" t="s">
        <v>116</v>
      </c>
      <c r="C100" s="13" t="s">
        <v>1923</v>
      </c>
      <c r="D100" s="13" t="s">
        <v>122</v>
      </c>
      <c r="J100" t="s">
        <v>25</v>
      </c>
      <c r="K100" t="s">
        <v>251</v>
      </c>
      <c r="L100" t="s">
        <v>1954</v>
      </c>
      <c r="M100" t="s">
        <v>238</v>
      </c>
    </row>
    <row r="101" spans="1:13" x14ac:dyDescent="0.2">
      <c r="A101" s="13" t="s">
        <v>25</v>
      </c>
      <c r="B101" s="13" t="s">
        <v>117</v>
      </c>
      <c r="C101" s="13" t="s">
        <v>1924</v>
      </c>
      <c r="D101" s="13" t="s">
        <v>123</v>
      </c>
      <c r="J101" t="s">
        <v>25</v>
      </c>
      <c r="K101" t="s">
        <v>252</v>
      </c>
      <c r="L101" t="s">
        <v>1965</v>
      </c>
      <c r="M101" t="s">
        <v>233</v>
      </c>
    </row>
    <row r="102" spans="1:13" x14ac:dyDescent="0.2">
      <c r="A102" s="13" t="s">
        <v>25</v>
      </c>
      <c r="B102" s="13" t="s">
        <v>252</v>
      </c>
      <c r="C102" s="13" t="s">
        <v>1965</v>
      </c>
      <c r="D102" s="13" t="s">
        <v>233</v>
      </c>
      <c r="J102" t="s">
        <v>25</v>
      </c>
      <c r="K102" t="s">
        <v>253</v>
      </c>
      <c r="L102" t="s">
        <v>1961</v>
      </c>
      <c r="M102" t="s">
        <v>234</v>
      </c>
    </row>
    <row r="103" spans="1:13" x14ac:dyDescent="0.2">
      <c r="A103" s="13" t="s">
        <v>25</v>
      </c>
      <c r="B103" s="13" t="s">
        <v>253</v>
      </c>
      <c r="C103" s="13" t="s">
        <v>1961</v>
      </c>
      <c r="D103" s="13" t="s">
        <v>234</v>
      </c>
      <c r="J103" t="s">
        <v>25</v>
      </c>
      <c r="K103" t="s">
        <v>254</v>
      </c>
      <c r="L103" t="s">
        <v>1962</v>
      </c>
      <c r="M103" t="s">
        <v>235</v>
      </c>
    </row>
    <row r="104" spans="1:13" x14ac:dyDescent="0.2">
      <c r="A104" s="13" t="s">
        <v>25</v>
      </c>
      <c r="B104" s="13" t="s">
        <v>254</v>
      </c>
      <c r="C104" s="13" t="s">
        <v>1962</v>
      </c>
      <c r="D104" s="13" t="s">
        <v>235</v>
      </c>
      <c r="J104" t="s">
        <v>25</v>
      </c>
      <c r="K104" t="s">
        <v>255</v>
      </c>
      <c r="L104" t="s">
        <v>1879</v>
      </c>
      <c r="M104" t="s">
        <v>236</v>
      </c>
    </row>
    <row r="105" spans="1:13" x14ac:dyDescent="0.2">
      <c r="A105" s="13" t="s">
        <v>25</v>
      </c>
      <c r="B105" s="13" t="s">
        <v>255</v>
      </c>
      <c r="C105" s="13" t="s">
        <v>1879</v>
      </c>
      <c r="D105" s="13" t="s">
        <v>236</v>
      </c>
      <c r="J105" t="s">
        <v>25</v>
      </c>
      <c r="K105" t="s">
        <v>256</v>
      </c>
      <c r="L105" t="s">
        <v>1963</v>
      </c>
      <c r="M105" t="s">
        <v>237</v>
      </c>
    </row>
    <row r="106" spans="1:13" ht="13.5" thickBot="1" x14ac:dyDescent="0.25">
      <c r="A106" s="14" t="s">
        <v>25</v>
      </c>
      <c r="B106" s="14" t="s">
        <v>256</v>
      </c>
      <c r="C106" s="13" t="s">
        <v>1963</v>
      </c>
      <c r="D106" s="13" t="s">
        <v>237</v>
      </c>
      <c r="J106" t="s">
        <v>25</v>
      </c>
      <c r="K106" t="s">
        <v>257</v>
      </c>
      <c r="L106" t="s">
        <v>1964</v>
      </c>
      <c r="M106" t="s">
        <v>238</v>
      </c>
    </row>
    <row r="107" spans="1:13" x14ac:dyDescent="0.2">
      <c r="A107" s="13" t="s">
        <v>25</v>
      </c>
      <c r="B107" s="13" t="s">
        <v>257</v>
      </c>
      <c r="C107" s="13" t="s">
        <v>1964</v>
      </c>
      <c r="D107" s="13" t="s">
        <v>238</v>
      </c>
      <c r="J107" t="s">
        <v>26</v>
      </c>
      <c r="K107" t="s">
        <v>240</v>
      </c>
      <c r="L107" t="s">
        <v>1982</v>
      </c>
      <c r="M107" t="s">
        <v>227</v>
      </c>
    </row>
    <row r="108" spans="1:13" x14ac:dyDescent="0.2">
      <c r="A108" s="13" t="s">
        <v>25</v>
      </c>
      <c r="B108" s="13" t="s">
        <v>52</v>
      </c>
      <c r="C108" s="13" t="s">
        <v>32</v>
      </c>
      <c r="D108" s="13" t="s">
        <v>64</v>
      </c>
      <c r="J108" t="s">
        <v>26</v>
      </c>
      <c r="K108" t="s">
        <v>241</v>
      </c>
      <c r="L108" t="s">
        <v>1978</v>
      </c>
      <c r="M108" t="s">
        <v>148</v>
      </c>
    </row>
    <row r="109" spans="1:13" x14ac:dyDescent="0.2">
      <c r="A109" s="13" t="s">
        <v>25</v>
      </c>
      <c r="B109" s="13" t="s">
        <v>420</v>
      </c>
      <c r="C109" s="13" t="s">
        <v>1388</v>
      </c>
      <c r="D109" s="13" t="s">
        <v>450</v>
      </c>
      <c r="J109" t="s">
        <v>26</v>
      </c>
      <c r="K109" t="s">
        <v>242</v>
      </c>
      <c r="L109" t="s">
        <v>1979</v>
      </c>
      <c r="M109" t="s">
        <v>149</v>
      </c>
    </row>
    <row r="110" spans="1:13" x14ac:dyDescent="0.2">
      <c r="A110" s="15" t="s">
        <v>25</v>
      </c>
      <c r="B110" s="15" t="s">
        <v>421</v>
      </c>
      <c r="C110" s="13" t="s">
        <v>1383</v>
      </c>
      <c r="D110" s="13" t="s">
        <v>451</v>
      </c>
      <c r="J110" t="s">
        <v>26</v>
      </c>
      <c r="K110" t="s">
        <v>243</v>
      </c>
      <c r="L110" t="s">
        <v>1887</v>
      </c>
      <c r="M110" t="s">
        <v>218</v>
      </c>
    </row>
    <row r="111" spans="1:13" x14ac:dyDescent="0.2">
      <c r="A111" s="15" t="s">
        <v>25</v>
      </c>
      <c r="B111" s="15" t="s">
        <v>422</v>
      </c>
      <c r="C111" s="13" t="s">
        <v>1384</v>
      </c>
      <c r="D111" s="13" t="s">
        <v>452</v>
      </c>
      <c r="J111" t="s">
        <v>26</v>
      </c>
      <c r="K111" t="s">
        <v>244</v>
      </c>
      <c r="L111" t="s">
        <v>1980</v>
      </c>
      <c r="M111" t="s">
        <v>219</v>
      </c>
    </row>
    <row r="112" spans="1:13" x14ac:dyDescent="0.2">
      <c r="A112" s="15" t="s">
        <v>25</v>
      </c>
      <c r="B112" s="15" t="s">
        <v>423</v>
      </c>
      <c r="C112" s="13" t="s">
        <v>1385</v>
      </c>
      <c r="D112" s="13" t="s">
        <v>453</v>
      </c>
      <c r="J112" t="s">
        <v>26</v>
      </c>
      <c r="K112" t="s">
        <v>245</v>
      </c>
      <c r="L112" t="s">
        <v>1981</v>
      </c>
      <c r="M112" t="s">
        <v>220</v>
      </c>
    </row>
    <row r="113" spans="1:13" x14ac:dyDescent="0.2">
      <c r="A113" s="15" t="s">
        <v>25</v>
      </c>
      <c r="B113" s="15" t="s">
        <v>424</v>
      </c>
      <c r="C113" s="13" t="s">
        <v>1386</v>
      </c>
      <c r="D113" s="13" t="s">
        <v>454</v>
      </c>
      <c r="J113" t="s">
        <v>26</v>
      </c>
      <c r="K113" t="s">
        <v>246</v>
      </c>
      <c r="L113" t="s">
        <v>1975</v>
      </c>
      <c r="M113" t="s">
        <v>221</v>
      </c>
    </row>
    <row r="114" spans="1:13" x14ac:dyDescent="0.2">
      <c r="A114" s="15" t="s">
        <v>25</v>
      </c>
      <c r="B114" s="15" t="s">
        <v>425</v>
      </c>
      <c r="C114" s="13" t="s">
        <v>1387</v>
      </c>
      <c r="D114" s="13" t="s">
        <v>455</v>
      </c>
      <c r="J114" t="s">
        <v>26</v>
      </c>
      <c r="K114" t="s">
        <v>247</v>
      </c>
      <c r="L114" t="s">
        <v>1976</v>
      </c>
      <c r="M114" t="s">
        <v>222</v>
      </c>
    </row>
    <row r="115" spans="1:13" x14ac:dyDescent="0.2">
      <c r="A115" s="13" t="s">
        <v>25</v>
      </c>
      <c r="B115" s="13" t="s">
        <v>53</v>
      </c>
      <c r="C115" s="13" t="s">
        <v>591</v>
      </c>
      <c r="D115" s="13" t="s">
        <v>65</v>
      </c>
      <c r="J115" t="s">
        <v>26</v>
      </c>
      <c r="K115" t="s">
        <v>248</v>
      </c>
      <c r="L115" t="s">
        <v>599</v>
      </c>
      <c r="M115" t="s">
        <v>223</v>
      </c>
    </row>
    <row r="116" spans="1:13" x14ac:dyDescent="0.2">
      <c r="A116" s="13" t="s">
        <v>25</v>
      </c>
      <c r="B116" s="13" t="s">
        <v>54</v>
      </c>
      <c r="C116" s="13" t="s">
        <v>585</v>
      </c>
      <c r="D116" s="13" t="s">
        <v>66</v>
      </c>
      <c r="J116" t="s">
        <v>26</v>
      </c>
      <c r="K116" t="s">
        <v>249</v>
      </c>
      <c r="L116" t="s">
        <v>1888</v>
      </c>
      <c r="M116" t="s">
        <v>224</v>
      </c>
    </row>
    <row r="117" spans="1:13" x14ac:dyDescent="0.2">
      <c r="A117" s="13" t="s">
        <v>25</v>
      </c>
      <c r="B117" s="13" t="s">
        <v>55</v>
      </c>
      <c r="C117" s="13" t="s">
        <v>62</v>
      </c>
      <c r="D117" s="13" t="s">
        <v>67</v>
      </c>
      <c r="J117" t="s">
        <v>26</v>
      </c>
      <c r="K117" t="s">
        <v>250</v>
      </c>
      <c r="L117" t="s">
        <v>1977</v>
      </c>
      <c r="M117" t="s">
        <v>225</v>
      </c>
    </row>
    <row r="118" spans="1:13" ht="13.5" thickBot="1" x14ac:dyDescent="0.25">
      <c r="A118" s="14" t="s">
        <v>25</v>
      </c>
      <c r="B118" s="14" t="s">
        <v>56</v>
      </c>
      <c r="C118" s="13" t="s">
        <v>56</v>
      </c>
      <c r="D118" s="13" t="s">
        <v>68</v>
      </c>
      <c r="J118" t="s">
        <v>26</v>
      </c>
      <c r="K118" t="s">
        <v>251</v>
      </c>
      <c r="L118" t="s">
        <v>665</v>
      </c>
      <c r="M118" t="s">
        <v>226</v>
      </c>
    </row>
    <row r="119" spans="1:13" x14ac:dyDescent="0.2">
      <c r="A119" s="15" t="s">
        <v>25</v>
      </c>
      <c r="B119" s="15" t="s">
        <v>665</v>
      </c>
      <c r="C119" s="13" t="s">
        <v>1559</v>
      </c>
      <c r="D119" s="13" t="s">
        <v>647</v>
      </c>
      <c r="J119" t="s">
        <v>25</v>
      </c>
      <c r="K119" t="s">
        <v>258</v>
      </c>
      <c r="L119" t="s">
        <v>1991</v>
      </c>
      <c r="M119" t="s">
        <v>270</v>
      </c>
    </row>
    <row r="120" spans="1:13" x14ac:dyDescent="0.2">
      <c r="A120" s="15" t="s">
        <v>25</v>
      </c>
      <c r="B120" s="15" t="s">
        <v>666</v>
      </c>
      <c r="C120" s="13" t="s">
        <v>1554</v>
      </c>
      <c r="D120" s="13" t="s">
        <v>648</v>
      </c>
      <c r="J120" t="s">
        <v>25</v>
      </c>
      <c r="K120" t="s">
        <v>259</v>
      </c>
      <c r="L120" t="s">
        <v>1990</v>
      </c>
      <c r="M120" t="s">
        <v>271</v>
      </c>
    </row>
    <row r="121" spans="1:13" x14ac:dyDescent="0.2">
      <c r="A121" s="15" t="s">
        <v>25</v>
      </c>
      <c r="B121" s="15" t="s">
        <v>667</v>
      </c>
      <c r="C121" s="13" t="s">
        <v>1555</v>
      </c>
      <c r="D121" s="13" t="s">
        <v>649</v>
      </c>
      <c r="J121" t="s">
        <v>25</v>
      </c>
      <c r="K121" t="s">
        <v>260</v>
      </c>
      <c r="L121" t="s">
        <v>416</v>
      </c>
      <c r="M121" t="s">
        <v>272</v>
      </c>
    </row>
    <row r="122" spans="1:13" x14ac:dyDescent="0.2">
      <c r="A122" s="15" t="s">
        <v>25</v>
      </c>
      <c r="B122" s="15" t="s">
        <v>668</v>
      </c>
      <c r="C122" s="13" t="s">
        <v>1556</v>
      </c>
      <c r="D122" s="13" t="s">
        <v>650</v>
      </c>
      <c r="J122" t="s">
        <v>25</v>
      </c>
      <c r="K122" t="s">
        <v>261</v>
      </c>
      <c r="L122" t="s">
        <v>1889</v>
      </c>
      <c r="M122" t="s">
        <v>273</v>
      </c>
    </row>
    <row r="123" spans="1:13" x14ac:dyDescent="0.2">
      <c r="A123" s="15" t="s">
        <v>25</v>
      </c>
      <c r="B123" s="15" t="s">
        <v>669</v>
      </c>
      <c r="C123" s="13" t="s">
        <v>1557</v>
      </c>
      <c r="D123" s="13" t="s">
        <v>651</v>
      </c>
      <c r="J123" t="s">
        <v>25</v>
      </c>
      <c r="K123" t="s">
        <v>262</v>
      </c>
      <c r="L123" t="s">
        <v>422</v>
      </c>
      <c r="M123" t="s">
        <v>274</v>
      </c>
    </row>
    <row r="124" spans="1:13" x14ac:dyDescent="0.2">
      <c r="A124" s="15" t="s">
        <v>25</v>
      </c>
      <c r="B124" s="15" t="s">
        <v>670</v>
      </c>
      <c r="C124" s="13" t="s">
        <v>1558</v>
      </c>
      <c r="D124" s="13" t="s">
        <v>652</v>
      </c>
      <c r="J124" t="s">
        <v>25</v>
      </c>
      <c r="K124" t="s">
        <v>263</v>
      </c>
      <c r="L124" t="s">
        <v>428</v>
      </c>
      <c r="M124" t="s">
        <v>275</v>
      </c>
    </row>
    <row r="125" spans="1:13" x14ac:dyDescent="0.2">
      <c r="A125" s="15" t="s">
        <v>25</v>
      </c>
      <c r="B125" s="15" t="s">
        <v>671</v>
      </c>
      <c r="C125" s="13" t="s">
        <v>1565</v>
      </c>
      <c r="D125" s="13" t="s">
        <v>658</v>
      </c>
      <c r="J125" t="s">
        <v>25</v>
      </c>
      <c r="K125" t="s">
        <v>264</v>
      </c>
      <c r="L125" t="s">
        <v>1992</v>
      </c>
      <c r="M125" t="s">
        <v>276</v>
      </c>
    </row>
    <row r="126" spans="1:13" x14ac:dyDescent="0.2">
      <c r="A126" s="15" t="s">
        <v>25</v>
      </c>
      <c r="B126" s="15" t="s">
        <v>672</v>
      </c>
      <c r="C126" s="13" t="s">
        <v>1560</v>
      </c>
      <c r="D126" s="13" t="s">
        <v>653</v>
      </c>
      <c r="J126" t="s">
        <v>25</v>
      </c>
      <c r="K126" t="s">
        <v>265</v>
      </c>
      <c r="L126" t="s">
        <v>1993</v>
      </c>
      <c r="M126" t="s">
        <v>277</v>
      </c>
    </row>
    <row r="127" spans="1:13" x14ac:dyDescent="0.2">
      <c r="A127" s="15" t="s">
        <v>25</v>
      </c>
      <c r="B127" s="15" t="s">
        <v>673</v>
      </c>
      <c r="C127" s="13" t="s">
        <v>1561</v>
      </c>
      <c r="D127" s="13" t="s">
        <v>654</v>
      </c>
      <c r="J127" t="s">
        <v>25</v>
      </c>
      <c r="K127" t="s">
        <v>266</v>
      </c>
      <c r="L127" t="s">
        <v>417</v>
      </c>
      <c r="M127" t="s">
        <v>278</v>
      </c>
    </row>
    <row r="128" spans="1:13" x14ac:dyDescent="0.2">
      <c r="A128" s="15" t="s">
        <v>25</v>
      </c>
      <c r="B128" s="15" t="s">
        <v>674</v>
      </c>
      <c r="C128" s="13" t="s">
        <v>1562</v>
      </c>
      <c r="D128" s="13" t="s">
        <v>655</v>
      </c>
      <c r="J128" t="s">
        <v>25</v>
      </c>
      <c r="K128" t="s">
        <v>267</v>
      </c>
      <c r="L128" t="s">
        <v>1890</v>
      </c>
      <c r="M128" t="s">
        <v>279</v>
      </c>
    </row>
    <row r="129" spans="1:13" x14ac:dyDescent="0.2">
      <c r="A129" s="15" t="s">
        <v>25</v>
      </c>
      <c r="B129" s="15" t="s">
        <v>675</v>
      </c>
      <c r="C129" s="13" t="s">
        <v>1563</v>
      </c>
      <c r="D129" s="13" t="s">
        <v>656</v>
      </c>
      <c r="J129" t="s">
        <v>25</v>
      </c>
      <c r="K129" t="s">
        <v>268</v>
      </c>
      <c r="L129" t="s">
        <v>423</v>
      </c>
      <c r="M129" t="s">
        <v>280</v>
      </c>
    </row>
    <row r="130" spans="1:13" x14ac:dyDescent="0.2">
      <c r="A130" s="15" t="s">
        <v>25</v>
      </c>
      <c r="B130" s="15" t="s">
        <v>676</v>
      </c>
      <c r="C130" s="13" t="s">
        <v>1564</v>
      </c>
      <c r="D130" s="13" t="s">
        <v>657</v>
      </c>
      <c r="J130" t="s">
        <v>25</v>
      </c>
      <c r="K130" t="s">
        <v>269</v>
      </c>
      <c r="L130" t="s">
        <v>429</v>
      </c>
      <c r="M130" t="s">
        <v>281</v>
      </c>
    </row>
    <row r="131" spans="1:13" x14ac:dyDescent="0.2">
      <c r="A131" s="15" t="s">
        <v>25</v>
      </c>
      <c r="B131" s="15" t="s">
        <v>526</v>
      </c>
      <c r="C131" s="13" t="s">
        <v>1458</v>
      </c>
      <c r="D131" s="13" t="s">
        <v>514</v>
      </c>
      <c r="J131" t="s">
        <v>26</v>
      </c>
      <c r="K131" t="s">
        <v>258</v>
      </c>
      <c r="L131" t="s">
        <v>1994</v>
      </c>
      <c r="M131" t="s">
        <v>282</v>
      </c>
    </row>
    <row r="132" spans="1:13" x14ac:dyDescent="0.2">
      <c r="A132" s="15" t="s">
        <v>25</v>
      </c>
      <c r="B132" s="15" t="s">
        <v>527</v>
      </c>
      <c r="C132" s="13" t="s">
        <v>1453</v>
      </c>
      <c r="D132" s="13" t="s">
        <v>515</v>
      </c>
      <c r="J132" t="s">
        <v>26</v>
      </c>
      <c r="K132" t="s">
        <v>259</v>
      </c>
      <c r="L132" t="s">
        <v>1995</v>
      </c>
      <c r="M132" t="s">
        <v>283</v>
      </c>
    </row>
    <row r="133" spans="1:13" x14ac:dyDescent="0.2">
      <c r="A133" s="15" t="s">
        <v>25</v>
      </c>
      <c r="B133" s="15" t="s">
        <v>528</v>
      </c>
      <c r="C133" s="13" t="s">
        <v>1454</v>
      </c>
      <c r="D133" s="13" t="s">
        <v>516</v>
      </c>
      <c r="J133" t="s">
        <v>26</v>
      </c>
      <c r="K133" t="s">
        <v>260</v>
      </c>
      <c r="L133" t="s">
        <v>1996</v>
      </c>
      <c r="M133" t="s">
        <v>284</v>
      </c>
    </row>
    <row r="134" spans="1:13" x14ac:dyDescent="0.2">
      <c r="A134" s="15" t="s">
        <v>25</v>
      </c>
      <c r="B134" s="15" t="s">
        <v>529</v>
      </c>
      <c r="C134" s="13" t="s">
        <v>1455</v>
      </c>
      <c r="D134" s="13" t="s">
        <v>517</v>
      </c>
      <c r="J134" t="s">
        <v>26</v>
      </c>
      <c r="K134" t="s">
        <v>261</v>
      </c>
      <c r="L134" t="s">
        <v>1891</v>
      </c>
      <c r="M134" t="s">
        <v>285</v>
      </c>
    </row>
    <row r="135" spans="1:13" x14ac:dyDescent="0.2">
      <c r="A135" s="15" t="s">
        <v>25</v>
      </c>
      <c r="B135" s="15" t="s">
        <v>530</v>
      </c>
      <c r="C135" s="13" t="s">
        <v>1456</v>
      </c>
      <c r="D135" s="13" t="s">
        <v>518</v>
      </c>
      <c r="J135" t="s">
        <v>26</v>
      </c>
      <c r="K135" t="s">
        <v>262</v>
      </c>
      <c r="L135" t="s">
        <v>1997</v>
      </c>
      <c r="M135" t="s">
        <v>283</v>
      </c>
    </row>
    <row r="136" spans="1:13" x14ac:dyDescent="0.2">
      <c r="A136" s="15" t="s">
        <v>25</v>
      </c>
      <c r="B136" s="15" t="s">
        <v>531</v>
      </c>
      <c r="C136" s="13" t="s">
        <v>1457</v>
      </c>
      <c r="D136" s="13" t="s">
        <v>519</v>
      </c>
      <c r="J136" t="s">
        <v>26</v>
      </c>
      <c r="K136" t="s">
        <v>263</v>
      </c>
      <c r="L136" t="s">
        <v>1998</v>
      </c>
      <c r="M136" t="s">
        <v>286</v>
      </c>
    </row>
    <row r="137" spans="1:13" x14ac:dyDescent="0.2">
      <c r="A137" s="15" t="s">
        <v>25</v>
      </c>
      <c r="B137" s="15" t="s">
        <v>426</v>
      </c>
      <c r="C137" s="13" t="s">
        <v>1394</v>
      </c>
      <c r="D137" s="13" t="s">
        <v>456</v>
      </c>
      <c r="J137" t="s">
        <v>26</v>
      </c>
      <c r="K137" t="s">
        <v>264</v>
      </c>
      <c r="L137" t="s">
        <v>1999</v>
      </c>
      <c r="M137" t="s">
        <v>291</v>
      </c>
    </row>
    <row r="138" spans="1:13" x14ac:dyDescent="0.2">
      <c r="A138" s="15" t="s">
        <v>25</v>
      </c>
      <c r="B138" s="15" t="s">
        <v>427</v>
      </c>
      <c r="C138" s="13" t="s">
        <v>1389</v>
      </c>
      <c r="D138" s="13" t="s">
        <v>457</v>
      </c>
      <c r="J138" t="s">
        <v>26</v>
      </c>
      <c r="K138" t="s">
        <v>265</v>
      </c>
      <c r="L138" t="s">
        <v>2000</v>
      </c>
      <c r="M138" t="s">
        <v>287</v>
      </c>
    </row>
    <row r="139" spans="1:13" x14ac:dyDescent="0.2">
      <c r="A139" s="15" t="s">
        <v>25</v>
      </c>
      <c r="B139" s="15" t="s">
        <v>428</v>
      </c>
      <c r="C139" s="13" t="s">
        <v>1390</v>
      </c>
      <c r="D139" s="13" t="s">
        <v>458</v>
      </c>
      <c r="J139" t="s">
        <v>26</v>
      </c>
      <c r="K139" t="s">
        <v>266</v>
      </c>
      <c r="L139" t="s">
        <v>2001</v>
      </c>
      <c r="M139" t="s">
        <v>288</v>
      </c>
    </row>
    <row r="140" spans="1:13" x14ac:dyDescent="0.2">
      <c r="A140" s="15" t="s">
        <v>25</v>
      </c>
      <c r="B140" s="15" t="s">
        <v>429</v>
      </c>
      <c r="C140" s="13" t="s">
        <v>1391</v>
      </c>
      <c r="D140" s="13" t="s">
        <v>459</v>
      </c>
      <c r="J140" t="s">
        <v>26</v>
      </c>
      <c r="K140" t="s">
        <v>267</v>
      </c>
      <c r="L140" t="s">
        <v>1892</v>
      </c>
      <c r="M140" t="s">
        <v>289</v>
      </c>
    </row>
    <row r="141" spans="1:13" x14ac:dyDescent="0.2">
      <c r="A141" s="15" t="s">
        <v>25</v>
      </c>
      <c r="B141" s="15" t="s">
        <v>430</v>
      </c>
      <c r="C141" s="13" t="s">
        <v>1392</v>
      </c>
      <c r="D141" s="13" t="s">
        <v>460</v>
      </c>
      <c r="J141" t="s">
        <v>26</v>
      </c>
      <c r="K141" t="s">
        <v>268</v>
      </c>
      <c r="L141" t="s">
        <v>2002</v>
      </c>
      <c r="M141" t="s">
        <v>287</v>
      </c>
    </row>
    <row r="142" spans="1:13" x14ac:dyDescent="0.2">
      <c r="A142" s="15" t="s">
        <v>25</v>
      </c>
      <c r="B142" s="15" t="s">
        <v>431</v>
      </c>
      <c r="C142" s="13" t="s">
        <v>1393</v>
      </c>
      <c r="D142" s="13" t="s">
        <v>461</v>
      </c>
      <c r="J142" t="s">
        <v>26</v>
      </c>
      <c r="K142" t="s">
        <v>269</v>
      </c>
      <c r="L142" t="s">
        <v>2003</v>
      </c>
      <c r="M142" t="s">
        <v>290</v>
      </c>
    </row>
    <row r="143" spans="1:13" x14ac:dyDescent="0.2">
      <c r="A143" s="15" t="s">
        <v>25</v>
      </c>
      <c r="B143" s="15" t="s">
        <v>662</v>
      </c>
      <c r="C143" s="13" t="s">
        <v>1553</v>
      </c>
      <c r="D143" s="13" t="s">
        <v>646</v>
      </c>
      <c r="J143" t="s">
        <v>25</v>
      </c>
      <c r="K143" t="s">
        <v>316</v>
      </c>
      <c r="L143" t="s">
        <v>2008</v>
      </c>
      <c r="M143" t="s">
        <v>292</v>
      </c>
    </row>
    <row r="144" spans="1:13" x14ac:dyDescent="0.2">
      <c r="A144" s="15" t="s">
        <v>25</v>
      </c>
      <c r="B144" s="15" t="s">
        <v>663</v>
      </c>
      <c r="C144" s="13" t="s">
        <v>1551</v>
      </c>
      <c r="D144" s="13" t="s">
        <v>644</v>
      </c>
      <c r="J144" t="s">
        <v>25</v>
      </c>
      <c r="K144" t="s">
        <v>317</v>
      </c>
      <c r="L144" t="s">
        <v>2004</v>
      </c>
      <c r="M144" t="s">
        <v>293</v>
      </c>
    </row>
    <row r="145" spans="1:13" x14ac:dyDescent="0.2">
      <c r="A145" s="15" t="s">
        <v>25</v>
      </c>
      <c r="B145" s="15" t="s">
        <v>664</v>
      </c>
      <c r="C145" s="13" t="s">
        <v>1552</v>
      </c>
      <c r="D145" s="13" t="s">
        <v>645</v>
      </c>
      <c r="J145" t="s">
        <v>25</v>
      </c>
      <c r="K145" t="s">
        <v>318</v>
      </c>
      <c r="L145" t="s">
        <v>2005</v>
      </c>
      <c r="M145" t="s">
        <v>294</v>
      </c>
    </row>
    <row r="146" spans="1:13" x14ac:dyDescent="0.2">
      <c r="A146" s="15" t="s">
        <v>25</v>
      </c>
      <c r="B146" s="15" t="s">
        <v>659</v>
      </c>
      <c r="C146" s="13" t="s">
        <v>1548</v>
      </c>
      <c r="D146" s="13" t="s">
        <v>641</v>
      </c>
      <c r="J146" t="s">
        <v>25</v>
      </c>
      <c r="K146" t="s">
        <v>319</v>
      </c>
      <c r="L146" t="s">
        <v>1893</v>
      </c>
      <c r="M146" t="s">
        <v>295</v>
      </c>
    </row>
    <row r="147" spans="1:13" x14ac:dyDescent="0.2">
      <c r="A147" s="15" t="s">
        <v>25</v>
      </c>
      <c r="B147" s="15" t="s">
        <v>660</v>
      </c>
      <c r="C147" s="13" t="s">
        <v>1549</v>
      </c>
      <c r="D147" s="13" t="s">
        <v>642</v>
      </c>
      <c r="J147" t="s">
        <v>25</v>
      </c>
      <c r="K147" t="s">
        <v>320</v>
      </c>
      <c r="L147" t="s">
        <v>2006</v>
      </c>
      <c r="M147" t="s">
        <v>296</v>
      </c>
    </row>
    <row r="148" spans="1:13" x14ac:dyDescent="0.2">
      <c r="A148" s="15" t="s">
        <v>25</v>
      </c>
      <c r="B148" s="15" t="s">
        <v>661</v>
      </c>
      <c r="C148" s="13" t="s">
        <v>1550</v>
      </c>
      <c r="D148" s="13" t="s">
        <v>643</v>
      </c>
      <c r="J148" t="s">
        <v>25</v>
      </c>
      <c r="K148" t="s">
        <v>321</v>
      </c>
      <c r="L148" t="s">
        <v>2007</v>
      </c>
      <c r="M148" t="s">
        <v>297</v>
      </c>
    </row>
    <row r="149" spans="1:13" x14ac:dyDescent="0.2">
      <c r="A149" s="15" t="s">
        <v>25</v>
      </c>
      <c r="B149" s="15" t="s">
        <v>1181</v>
      </c>
      <c r="C149" s="13" t="s">
        <v>1593</v>
      </c>
      <c r="D149" s="13" t="s">
        <v>701</v>
      </c>
      <c r="J149" t="s">
        <v>25</v>
      </c>
      <c r="K149" t="s">
        <v>322</v>
      </c>
      <c r="L149" t="s">
        <v>2013</v>
      </c>
      <c r="M149" t="s">
        <v>298</v>
      </c>
    </row>
    <row r="150" spans="1:13" x14ac:dyDescent="0.2">
      <c r="A150" s="15" t="s">
        <v>25</v>
      </c>
      <c r="B150" s="15" t="s">
        <v>1182</v>
      </c>
      <c r="C150" s="13" t="s">
        <v>1594</v>
      </c>
      <c r="D150" s="13" t="s">
        <v>702</v>
      </c>
      <c r="J150" t="s">
        <v>25</v>
      </c>
      <c r="K150" t="s">
        <v>323</v>
      </c>
      <c r="L150" t="s">
        <v>2009</v>
      </c>
      <c r="M150" t="s">
        <v>299</v>
      </c>
    </row>
    <row r="151" spans="1:13" x14ac:dyDescent="0.2">
      <c r="A151" s="15" t="s">
        <v>25</v>
      </c>
      <c r="B151" s="15" t="s">
        <v>1183</v>
      </c>
      <c r="C151" s="13" t="s">
        <v>1595</v>
      </c>
      <c r="D151" s="13" t="s">
        <v>703</v>
      </c>
      <c r="J151" t="s">
        <v>25</v>
      </c>
      <c r="K151" t="s">
        <v>324</v>
      </c>
      <c r="L151" t="s">
        <v>2010</v>
      </c>
      <c r="M151" t="s">
        <v>300</v>
      </c>
    </row>
    <row r="152" spans="1:13" x14ac:dyDescent="0.2">
      <c r="A152" s="15" t="s">
        <v>25</v>
      </c>
      <c r="B152" s="15" t="s">
        <v>1184</v>
      </c>
      <c r="C152" s="13" t="s">
        <v>1596</v>
      </c>
      <c r="D152" s="13" t="s">
        <v>704</v>
      </c>
      <c r="J152" t="s">
        <v>25</v>
      </c>
      <c r="K152" t="s">
        <v>325</v>
      </c>
      <c r="L152" t="s">
        <v>1894</v>
      </c>
      <c r="M152" t="s">
        <v>301</v>
      </c>
    </row>
    <row r="153" spans="1:13" x14ac:dyDescent="0.2">
      <c r="A153" s="15" t="s">
        <v>25</v>
      </c>
      <c r="B153" s="15" t="s">
        <v>1185</v>
      </c>
      <c r="C153" s="13" t="s">
        <v>1597</v>
      </c>
      <c r="D153" s="13" t="s">
        <v>705</v>
      </c>
      <c r="J153" t="s">
        <v>25</v>
      </c>
      <c r="K153" t="s">
        <v>326</v>
      </c>
      <c r="L153" t="s">
        <v>2011</v>
      </c>
      <c r="M153" t="s">
        <v>302</v>
      </c>
    </row>
    <row r="154" spans="1:13" x14ac:dyDescent="0.2">
      <c r="A154" s="15" t="s">
        <v>25</v>
      </c>
      <c r="B154" s="15" t="s">
        <v>1186</v>
      </c>
      <c r="C154" s="13" t="s">
        <v>1598</v>
      </c>
      <c r="D154" s="13" t="s">
        <v>706</v>
      </c>
      <c r="J154" t="s">
        <v>25</v>
      </c>
      <c r="K154" t="s">
        <v>327</v>
      </c>
      <c r="L154" t="s">
        <v>2012</v>
      </c>
      <c r="M154" t="s">
        <v>303</v>
      </c>
    </row>
    <row r="155" spans="1:13" x14ac:dyDescent="0.2">
      <c r="A155" s="15" t="s">
        <v>25</v>
      </c>
      <c r="B155" s="15" t="s">
        <v>1187</v>
      </c>
      <c r="C155" s="13" t="s">
        <v>1599</v>
      </c>
      <c r="D155" s="13" t="s">
        <v>707</v>
      </c>
      <c r="J155" t="s">
        <v>25</v>
      </c>
      <c r="K155" t="s">
        <v>328</v>
      </c>
      <c r="L155" t="s">
        <v>2018</v>
      </c>
      <c r="M155" t="s">
        <v>304</v>
      </c>
    </row>
    <row r="156" spans="1:13" x14ac:dyDescent="0.2">
      <c r="A156" s="15" t="s">
        <v>25</v>
      </c>
      <c r="B156" s="15" t="s">
        <v>1188</v>
      </c>
      <c r="C156" s="13" t="s">
        <v>1600</v>
      </c>
      <c r="D156" s="13" t="s">
        <v>708</v>
      </c>
      <c r="J156" t="s">
        <v>25</v>
      </c>
      <c r="K156" t="s">
        <v>329</v>
      </c>
      <c r="L156" t="s">
        <v>2014</v>
      </c>
      <c r="M156" t="s">
        <v>305</v>
      </c>
    </row>
    <row r="157" spans="1:13" x14ac:dyDescent="0.2">
      <c r="A157" s="15" t="s">
        <v>25</v>
      </c>
      <c r="B157" s="15" t="s">
        <v>1189</v>
      </c>
      <c r="C157" s="13" t="s">
        <v>1601</v>
      </c>
      <c r="D157" s="13" t="s">
        <v>709</v>
      </c>
      <c r="J157" t="s">
        <v>25</v>
      </c>
      <c r="K157" t="s">
        <v>330</v>
      </c>
      <c r="L157" t="s">
        <v>2015</v>
      </c>
      <c r="M157" t="s">
        <v>306</v>
      </c>
    </row>
    <row r="158" spans="1:13" x14ac:dyDescent="0.2">
      <c r="A158" s="15" t="s">
        <v>25</v>
      </c>
      <c r="B158" s="15" t="s">
        <v>1190</v>
      </c>
      <c r="C158" s="13" t="s">
        <v>1602</v>
      </c>
      <c r="D158" s="13" t="s">
        <v>710</v>
      </c>
      <c r="J158" t="s">
        <v>25</v>
      </c>
      <c r="K158" t="s">
        <v>331</v>
      </c>
      <c r="L158" t="s">
        <v>1895</v>
      </c>
      <c r="M158" t="s">
        <v>307</v>
      </c>
    </row>
    <row r="159" spans="1:13" x14ac:dyDescent="0.2">
      <c r="A159" s="15" t="s">
        <v>25</v>
      </c>
      <c r="B159" s="15" t="s">
        <v>1191</v>
      </c>
      <c r="C159" s="13" t="s">
        <v>1603</v>
      </c>
      <c r="D159" s="13" t="s">
        <v>711</v>
      </c>
      <c r="J159" t="s">
        <v>25</v>
      </c>
      <c r="K159" t="s">
        <v>332</v>
      </c>
      <c r="L159" t="s">
        <v>2016</v>
      </c>
      <c r="M159" t="s">
        <v>308</v>
      </c>
    </row>
    <row r="160" spans="1:13" x14ac:dyDescent="0.2">
      <c r="A160" s="15" t="s">
        <v>25</v>
      </c>
      <c r="B160" s="15" t="s">
        <v>1192</v>
      </c>
      <c r="C160" s="13" t="s">
        <v>1604</v>
      </c>
      <c r="D160" s="13" t="s">
        <v>712</v>
      </c>
      <c r="J160" t="s">
        <v>25</v>
      </c>
      <c r="K160" t="s">
        <v>333</v>
      </c>
      <c r="L160" t="s">
        <v>2017</v>
      </c>
      <c r="M160" t="s">
        <v>309</v>
      </c>
    </row>
    <row r="161" spans="1:13" x14ac:dyDescent="0.2">
      <c r="A161" s="15" t="s">
        <v>25</v>
      </c>
      <c r="B161" s="15" t="s">
        <v>432</v>
      </c>
      <c r="C161" s="13" t="s">
        <v>1395</v>
      </c>
      <c r="D161" s="13" t="s">
        <v>462</v>
      </c>
      <c r="J161" t="s">
        <v>25</v>
      </c>
      <c r="K161" t="s">
        <v>334</v>
      </c>
      <c r="L161" t="s">
        <v>2023</v>
      </c>
      <c r="M161" t="s">
        <v>310</v>
      </c>
    </row>
    <row r="162" spans="1:13" x14ac:dyDescent="0.2">
      <c r="A162" s="15" t="s">
        <v>25</v>
      </c>
      <c r="B162" s="15" t="s">
        <v>433</v>
      </c>
      <c r="C162" s="13" t="s">
        <v>1396</v>
      </c>
      <c r="D162" s="13" t="s">
        <v>463</v>
      </c>
      <c r="J162" t="s">
        <v>25</v>
      </c>
      <c r="K162" t="s">
        <v>335</v>
      </c>
      <c r="L162" t="s">
        <v>2019</v>
      </c>
      <c r="M162" t="s">
        <v>311</v>
      </c>
    </row>
    <row r="163" spans="1:13" x14ac:dyDescent="0.2">
      <c r="A163" s="15" t="s">
        <v>25</v>
      </c>
      <c r="B163" s="15" t="s">
        <v>434</v>
      </c>
      <c r="C163" s="13" t="s">
        <v>1397</v>
      </c>
      <c r="D163" s="13" t="s">
        <v>464</v>
      </c>
      <c r="J163" t="s">
        <v>25</v>
      </c>
      <c r="K163" t="s">
        <v>336</v>
      </c>
      <c r="L163" t="s">
        <v>2020</v>
      </c>
      <c r="M163" t="s">
        <v>312</v>
      </c>
    </row>
    <row r="164" spans="1:13" x14ac:dyDescent="0.2">
      <c r="A164" s="15" t="s">
        <v>25</v>
      </c>
      <c r="B164" s="15" t="s">
        <v>435</v>
      </c>
      <c r="C164" s="13" t="s">
        <v>1398</v>
      </c>
      <c r="D164" s="13" t="s">
        <v>465</v>
      </c>
      <c r="J164" t="s">
        <v>25</v>
      </c>
      <c r="K164" t="s">
        <v>337</v>
      </c>
      <c r="L164" t="s">
        <v>1896</v>
      </c>
      <c r="M164" t="s">
        <v>313</v>
      </c>
    </row>
    <row r="165" spans="1:13" x14ac:dyDescent="0.2">
      <c r="A165" s="15" t="s">
        <v>25</v>
      </c>
      <c r="B165" s="15" t="s">
        <v>436</v>
      </c>
      <c r="C165" s="13" t="s">
        <v>1399</v>
      </c>
      <c r="D165" s="13" t="s">
        <v>466</v>
      </c>
      <c r="J165" t="s">
        <v>25</v>
      </c>
      <c r="K165" t="s">
        <v>338</v>
      </c>
      <c r="L165" t="s">
        <v>2021</v>
      </c>
      <c r="M165" t="s">
        <v>314</v>
      </c>
    </row>
    <row r="166" spans="1:13" x14ac:dyDescent="0.2">
      <c r="A166" s="15" t="s">
        <v>25</v>
      </c>
      <c r="B166" s="15" t="s">
        <v>437</v>
      </c>
      <c r="C166" s="13" t="s">
        <v>1400</v>
      </c>
      <c r="D166" s="13" t="s">
        <v>467</v>
      </c>
      <c r="J166" t="s">
        <v>25</v>
      </c>
      <c r="K166" t="s">
        <v>339</v>
      </c>
      <c r="L166" t="s">
        <v>2022</v>
      </c>
      <c r="M166" t="s">
        <v>315</v>
      </c>
    </row>
    <row r="167" spans="1:13" x14ac:dyDescent="0.2">
      <c r="A167" s="15" t="s">
        <v>25</v>
      </c>
      <c r="B167" s="15" t="s">
        <v>1195</v>
      </c>
      <c r="C167" s="13" t="s">
        <v>1590</v>
      </c>
      <c r="D167" s="13" t="s">
        <v>698</v>
      </c>
      <c r="J167" t="s">
        <v>26</v>
      </c>
      <c r="K167" t="s">
        <v>316</v>
      </c>
      <c r="L167" t="s">
        <v>2028</v>
      </c>
      <c r="M167" t="s">
        <v>340</v>
      </c>
    </row>
    <row r="168" spans="1:13" x14ac:dyDescent="0.2">
      <c r="A168" s="15" t="s">
        <v>25</v>
      </c>
      <c r="B168" s="15" t="s">
        <v>1196</v>
      </c>
      <c r="C168" s="13" t="s">
        <v>1591</v>
      </c>
      <c r="D168" s="13" t="s">
        <v>699</v>
      </c>
      <c r="J168" t="s">
        <v>26</v>
      </c>
      <c r="K168" t="s">
        <v>317</v>
      </c>
      <c r="L168" t="s">
        <v>2024</v>
      </c>
      <c r="M168" t="s">
        <v>344</v>
      </c>
    </row>
    <row r="169" spans="1:13" x14ac:dyDescent="0.2">
      <c r="A169" s="15" t="s">
        <v>25</v>
      </c>
      <c r="B169" s="15" t="s">
        <v>1197</v>
      </c>
      <c r="C169" s="13" t="s">
        <v>1592</v>
      </c>
      <c r="D169" s="13" t="s">
        <v>700</v>
      </c>
      <c r="J169" t="s">
        <v>26</v>
      </c>
      <c r="K169" t="s">
        <v>318</v>
      </c>
      <c r="L169" t="s">
        <v>2025</v>
      </c>
      <c r="M169" t="s">
        <v>348</v>
      </c>
    </row>
    <row r="170" spans="1:13" x14ac:dyDescent="0.2">
      <c r="A170" s="15" t="s">
        <v>25</v>
      </c>
      <c r="B170" s="15" t="s">
        <v>532</v>
      </c>
      <c r="C170" s="13" t="s">
        <v>1459</v>
      </c>
      <c r="D170" s="13" t="s">
        <v>520</v>
      </c>
      <c r="J170" t="s">
        <v>26</v>
      </c>
      <c r="K170" t="s">
        <v>319</v>
      </c>
      <c r="L170" t="s">
        <v>1897</v>
      </c>
      <c r="M170" t="s">
        <v>352</v>
      </c>
    </row>
    <row r="171" spans="1:13" x14ac:dyDescent="0.2">
      <c r="A171" s="15" t="s">
        <v>25</v>
      </c>
      <c r="B171" s="15" t="s">
        <v>533</v>
      </c>
      <c r="C171" s="13" t="s">
        <v>1460</v>
      </c>
      <c r="D171" s="13" t="s">
        <v>521</v>
      </c>
      <c r="J171" t="s">
        <v>26</v>
      </c>
      <c r="K171" t="s">
        <v>320</v>
      </c>
      <c r="L171" t="s">
        <v>2026</v>
      </c>
      <c r="M171" t="s">
        <v>356</v>
      </c>
    </row>
    <row r="172" spans="1:13" x14ac:dyDescent="0.2">
      <c r="A172" s="15" t="s">
        <v>25</v>
      </c>
      <c r="B172" s="15" t="s">
        <v>534</v>
      </c>
      <c r="C172" s="13" t="s">
        <v>1461</v>
      </c>
      <c r="D172" s="13" t="s">
        <v>522</v>
      </c>
      <c r="J172" t="s">
        <v>26</v>
      </c>
      <c r="K172" t="s">
        <v>321</v>
      </c>
      <c r="L172" t="s">
        <v>2027</v>
      </c>
      <c r="M172" t="s">
        <v>360</v>
      </c>
    </row>
    <row r="173" spans="1:13" x14ac:dyDescent="0.2">
      <c r="A173" s="15" t="s">
        <v>25</v>
      </c>
      <c r="B173" s="15" t="s">
        <v>535</v>
      </c>
      <c r="C173" s="13" t="s">
        <v>1462</v>
      </c>
      <c r="D173" s="13" t="s">
        <v>523</v>
      </c>
      <c r="J173" t="s">
        <v>26</v>
      </c>
      <c r="K173" t="s">
        <v>322</v>
      </c>
      <c r="L173" t="s">
        <v>2029</v>
      </c>
      <c r="M173" t="s">
        <v>341</v>
      </c>
    </row>
    <row r="174" spans="1:13" x14ac:dyDescent="0.2">
      <c r="A174" s="15" t="s">
        <v>25</v>
      </c>
      <c r="B174" s="15" t="s">
        <v>536</v>
      </c>
      <c r="C174" s="13" t="s">
        <v>1463</v>
      </c>
      <c r="D174" s="13" t="s">
        <v>524</v>
      </c>
      <c r="J174" t="s">
        <v>26</v>
      </c>
      <c r="K174" t="s">
        <v>323</v>
      </c>
      <c r="L174" t="s">
        <v>2030</v>
      </c>
      <c r="M174" t="s">
        <v>345</v>
      </c>
    </row>
    <row r="175" spans="1:13" x14ac:dyDescent="0.2">
      <c r="A175" s="15" t="s">
        <v>25</v>
      </c>
      <c r="B175" s="15" t="s">
        <v>1198</v>
      </c>
      <c r="C175" s="13" t="s">
        <v>1589</v>
      </c>
      <c r="D175" s="13" t="s">
        <v>695</v>
      </c>
      <c r="J175" t="s">
        <v>26</v>
      </c>
      <c r="K175" t="s">
        <v>324</v>
      </c>
      <c r="L175" t="s">
        <v>2031</v>
      </c>
      <c r="M175" t="s">
        <v>349</v>
      </c>
    </row>
    <row r="176" spans="1:13" x14ac:dyDescent="0.2">
      <c r="A176" s="15" t="s">
        <v>25</v>
      </c>
      <c r="B176" s="15" t="s">
        <v>537</v>
      </c>
      <c r="C176" s="13" t="s">
        <v>1464</v>
      </c>
      <c r="D176" s="13" t="s">
        <v>525</v>
      </c>
      <c r="J176" t="s">
        <v>26</v>
      </c>
      <c r="K176" t="s">
        <v>325</v>
      </c>
      <c r="L176" t="s">
        <v>1898</v>
      </c>
      <c r="M176" t="s">
        <v>353</v>
      </c>
    </row>
    <row r="177" spans="1:13" x14ac:dyDescent="0.2">
      <c r="A177" s="15" t="s">
        <v>25</v>
      </c>
      <c r="B177" s="15" t="s">
        <v>438</v>
      </c>
      <c r="C177" s="13" t="s">
        <v>1405</v>
      </c>
      <c r="D177" s="13" t="s">
        <v>468</v>
      </c>
      <c r="J177" t="s">
        <v>26</v>
      </c>
      <c r="K177" t="s">
        <v>326</v>
      </c>
      <c r="L177" t="s">
        <v>2032</v>
      </c>
      <c r="M177" t="s">
        <v>357</v>
      </c>
    </row>
    <row r="178" spans="1:13" x14ac:dyDescent="0.2">
      <c r="A178" s="15" t="s">
        <v>25</v>
      </c>
      <c r="B178" s="15" t="s">
        <v>439</v>
      </c>
      <c r="C178" s="13" t="s">
        <v>1406</v>
      </c>
      <c r="D178" s="13" t="s">
        <v>469</v>
      </c>
      <c r="J178" t="s">
        <v>26</v>
      </c>
      <c r="K178" t="s">
        <v>327</v>
      </c>
      <c r="L178" t="s">
        <v>2033</v>
      </c>
      <c r="M178" t="s">
        <v>361</v>
      </c>
    </row>
    <row r="179" spans="1:13" x14ac:dyDescent="0.2">
      <c r="A179" s="15" t="s">
        <v>25</v>
      </c>
      <c r="B179" s="15" t="s">
        <v>440</v>
      </c>
      <c r="C179" s="13" t="s">
        <v>1401</v>
      </c>
      <c r="D179" s="13" t="s">
        <v>470</v>
      </c>
      <c r="J179" t="s">
        <v>26</v>
      </c>
      <c r="K179" t="s">
        <v>328</v>
      </c>
      <c r="L179" t="s">
        <v>2034</v>
      </c>
      <c r="M179" t="s">
        <v>342</v>
      </c>
    </row>
    <row r="180" spans="1:13" x14ac:dyDescent="0.2">
      <c r="A180" s="15" t="s">
        <v>25</v>
      </c>
      <c r="B180" s="15" t="s">
        <v>441</v>
      </c>
      <c r="C180" s="13" t="s">
        <v>1402</v>
      </c>
      <c r="D180" s="13" t="s">
        <v>471</v>
      </c>
      <c r="J180" t="s">
        <v>26</v>
      </c>
      <c r="K180" t="s">
        <v>329</v>
      </c>
      <c r="L180" t="s">
        <v>2035</v>
      </c>
      <c r="M180" t="s">
        <v>346</v>
      </c>
    </row>
    <row r="181" spans="1:13" x14ac:dyDescent="0.2">
      <c r="A181" s="15" t="s">
        <v>25</v>
      </c>
      <c r="B181" s="15" t="s">
        <v>442</v>
      </c>
      <c r="C181" s="13" t="s">
        <v>1403</v>
      </c>
      <c r="D181" s="13" t="s">
        <v>472</v>
      </c>
      <c r="J181" t="s">
        <v>26</v>
      </c>
      <c r="K181" t="s">
        <v>330</v>
      </c>
      <c r="L181" t="s">
        <v>2036</v>
      </c>
      <c r="M181" t="s">
        <v>350</v>
      </c>
    </row>
    <row r="182" spans="1:13" x14ac:dyDescent="0.2">
      <c r="A182" s="15" t="s">
        <v>25</v>
      </c>
      <c r="B182" s="15" t="s">
        <v>443</v>
      </c>
      <c r="C182" s="13" t="s">
        <v>1404</v>
      </c>
      <c r="D182" s="13" t="s">
        <v>473</v>
      </c>
      <c r="J182" t="s">
        <v>26</v>
      </c>
      <c r="K182" t="s">
        <v>331</v>
      </c>
      <c r="L182" t="s">
        <v>1899</v>
      </c>
      <c r="M182" t="s">
        <v>354</v>
      </c>
    </row>
    <row r="183" spans="1:13" x14ac:dyDescent="0.2">
      <c r="A183" s="15" t="s">
        <v>25</v>
      </c>
      <c r="B183" s="15" t="s">
        <v>1193</v>
      </c>
      <c r="C183" s="13" t="s">
        <v>1587</v>
      </c>
      <c r="D183" s="13" t="s">
        <v>696</v>
      </c>
      <c r="J183" t="s">
        <v>26</v>
      </c>
      <c r="K183" t="s">
        <v>332</v>
      </c>
      <c r="L183" t="s">
        <v>2037</v>
      </c>
      <c r="M183" t="s">
        <v>358</v>
      </c>
    </row>
    <row r="184" spans="1:13" x14ac:dyDescent="0.2">
      <c r="A184" s="15" t="s">
        <v>25</v>
      </c>
      <c r="B184" s="15" t="s">
        <v>1194</v>
      </c>
      <c r="C184" s="13" t="s">
        <v>1588</v>
      </c>
      <c r="D184" s="13" t="s">
        <v>697</v>
      </c>
      <c r="J184" t="s">
        <v>26</v>
      </c>
      <c r="K184" t="s">
        <v>333</v>
      </c>
      <c r="L184" t="s">
        <v>2038</v>
      </c>
      <c r="M184" t="s">
        <v>362</v>
      </c>
    </row>
    <row r="185" spans="1:13" x14ac:dyDescent="0.2">
      <c r="A185" s="15" t="s">
        <v>25</v>
      </c>
      <c r="B185" s="15" t="s">
        <v>1205</v>
      </c>
      <c r="C185" s="13" t="s">
        <v>1629</v>
      </c>
      <c r="D185" s="13" t="s">
        <v>737</v>
      </c>
      <c r="J185" t="s">
        <v>26</v>
      </c>
      <c r="K185" t="s">
        <v>334</v>
      </c>
      <c r="L185" t="s">
        <v>2039</v>
      </c>
      <c r="M185" t="s">
        <v>343</v>
      </c>
    </row>
    <row r="186" spans="1:13" x14ac:dyDescent="0.2">
      <c r="A186" s="15" t="s">
        <v>25</v>
      </c>
      <c r="B186" s="15" t="s">
        <v>1206</v>
      </c>
      <c r="C186" s="13" t="s">
        <v>1630</v>
      </c>
      <c r="D186" s="13" t="s">
        <v>738</v>
      </c>
      <c r="J186" t="s">
        <v>26</v>
      </c>
      <c r="K186" t="s">
        <v>335</v>
      </c>
      <c r="L186" t="s">
        <v>2040</v>
      </c>
      <c r="M186" t="s">
        <v>347</v>
      </c>
    </row>
    <row r="187" spans="1:13" x14ac:dyDescent="0.2">
      <c r="A187" s="15" t="s">
        <v>25</v>
      </c>
      <c r="B187" s="15" t="s">
        <v>1207</v>
      </c>
      <c r="C187" s="13" t="s">
        <v>1631</v>
      </c>
      <c r="D187" s="13" t="s">
        <v>739</v>
      </c>
      <c r="J187" t="s">
        <v>26</v>
      </c>
      <c r="K187" t="s">
        <v>336</v>
      </c>
      <c r="L187" t="s">
        <v>2041</v>
      </c>
      <c r="M187" t="s">
        <v>351</v>
      </c>
    </row>
    <row r="188" spans="1:13" x14ac:dyDescent="0.2">
      <c r="A188" s="15" t="s">
        <v>25</v>
      </c>
      <c r="B188" s="15" t="s">
        <v>1208</v>
      </c>
      <c r="C188" s="13" t="s">
        <v>1632</v>
      </c>
      <c r="D188" s="13" t="s">
        <v>740</v>
      </c>
      <c r="J188" t="s">
        <v>26</v>
      </c>
      <c r="K188" t="s">
        <v>337</v>
      </c>
      <c r="L188" t="s">
        <v>1900</v>
      </c>
      <c r="M188" t="s">
        <v>355</v>
      </c>
    </row>
    <row r="189" spans="1:13" x14ac:dyDescent="0.2">
      <c r="A189" s="15" t="s">
        <v>25</v>
      </c>
      <c r="B189" s="15" t="s">
        <v>1209</v>
      </c>
      <c r="C189" s="13" t="s">
        <v>1633</v>
      </c>
      <c r="D189" s="13" t="s">
        <v>741</v>
      </c>
      <c r="J189" t="s">
        <v>26</v>
      </c>
      <c r="K189" t="s">
        <v>338</v>
      </c>
      <c r="L189" t="s">
        <v>2042</v>
      </c>
      <c r="M189" t="s">
        <v>359</v>
      </c>
    </row>
    <row r="190" spans="1:13" x14ac:dyDescent="0.2">
      <c r="A190" s="15" t="s">
        <v>25</v>
      </c>
      <c r="B190" s="15" t="s">
        <v>1210</v>
      </c>
      <c r="C190" s="13" t="s">
        <v>1634</v>
      </c>
      <c r="D190" s="13" t="s">
        <v>742</v>
      </c>
      <c r="J190" t="s">
        <v>26</v>
      </c>
      <c r="K190" t="s">
        <v>339</v>
      </c>
      <c r="L190" t="s">
        <v>2043</v>
      </c>
      <c r="M190" t="s">
        <v>363</v>
      </c>
    </row>
    <row r="191" spans="1:13" x14ac:dyDescent="0.2">
      <c r="A191" s="15" t="s">
        <v>25</v>
      </c>
      <c r="B191" s="15" t="s">
        <v>1211</v>
      </c>
      <c r="C191" s="13" t="s">
        <v>1635</v>
      </c>
      <c r="D191" s="13" t="s">
        <v>743</v>
      </c>
      <c r="J191" t="s">
        <v>25</v>
      </c>
      <c r="K191" t="s">
        <v>382</v>
      </c>
      <c r="L191" t="s">
        <v>2083</v>
      </c>
      <c r="M191" t="s">
        <v>364</v>
      </c>
    </row>
    <row r="192" spans="1:13" x14ac:dyDescent="0.2">
      <c r="A192" s="15" t="s">
        <v>25</v>
      </c>
      <c r="B192" s="15" t="s">
        <v>1212</v>
      </c>
      <c r="C192" s="13" t="s">
        <v>1636</v>
      </c>
      <c r="D192" s="13" t="s">
        <v>744</v>
      </c>
      <c r="J192" t="s">
        <v>25</v>
      </c>
      <c r="K192" t="s">
        <v>383</v>
      </c>
      <c r="L192" t="s">
        <v>2053</v>
      </c>
      <c r="M192" t="s">
        <v>365</v>
      </c>
    </row>
    <row r="193" spans="1:13" x14ac:dyDescent="0.2">
      <c r="A193" s="15" t="s">
        <v>25</v>
      </c>
      <c r="B193" s="15" t="s">
        <v>1213</v>
      </c>
      <c r="C193" s="13" t="s">
        <v>1637</v>
      </c>
      <c r="D193" s="13" t="s">
        <v>745</v>
      </c>
      <c r="J193" t="s">
        <v>25</v>
      </c>
      <c r="K193" t="s">
        <v>384</v>
      </c>
      <c r="L193" t="s">
        <v>2054</v>
      </c>
      <c r="M193" t="s">
        <v>366</v>
      </c>
    </row>
    <row r="194" spans="1:13" x14ac:dyDescent="0.2">
      <c r="A194" s="15" t="s">
        <v>25</v>
      </c>
      <c r="B194" s="15" t="s">
        <v>1214</v>
      </c>
      <c r="C194" s="13" t="s">
        <v>1638</v>
      </c>
      <c r="D194" s="13" t="s">
        <v>746</v>
      </c>
      <c r="J194" t="s">
        <v>25</v>
      </c>
      <c r="K194" t="s">
        <v>385</v>
      </c>
      <c r="L194" t="s">
        <v>1901</v>
      </c>
      <c r="M194" t="s">
        <v>367</v>
      </c>
    </row>
    <row r="195" spans="1:13" x14ac:dyDescent="0.2">
      <c r="A195" s="15" t="s">
        <v>25</v>
      </c>
      <c r="B195" s="15" t="s">
        <v>1215</v>
      </c>
      <c r="C195" s="13" t="s">
        <v>1639</v>
      </c>
      <c r="D195" s="13" t="s">
        <v>747</v>
      </c>
      <c r="J195" t="s">
        <v>25</v>
      </c>
      <c r="K195" t="s">
        <v>386</v>
      </c>
      <c r="L195" t="s">
        <v>2055</v>
      </c>
      <c r="M195" t="s">
        <v>368</v>
      </c>
    </row>
    <row r="196" spans="1:13" x14ac:dyDescent="0.2">
      <c r="A196" s="15" t="s">
        <v>25</v>
      </c>
      <c r="B196" s="15" t="s">
        <v>1216</v>
      </c>
      <c r="C196" s="13" t="s">
        <v>1640</v>
      </c>
      <c r="D196" s="13" t="s">
        <v>748</v>
      </c>
      <c r="J196" t="s">
        <v>25</v>
      </c>
      <c r="K196" t="s">
        <v>387</v>
      </c>
      <c r="L196" t="s">
        <v>2056</v>
      </c>
      <c r="M196" t="s">
        <v>369</v>
      </c>
    </row>
    <row r="197" spans="1:13" x14ac:dyDescent="0.2">
      <c r="A197" s="15" t="s">
        <v>25</v>
      </c>
      <c r="B197" s="15" t="s">
        <v>1201</v>
      </c>
      <c r="C197" s="13" t="s">
        <v>1626</v>
      </c>
      <c r="D197" s="13" t="s">
        <v>734</v>
      </c>
      <c r="J197" t="s">
        <v>25</v>
      </c>
      <c r="K197" t="s">
        <v>388</v>
      </c>
      <c r="L197" t="s">
        <v>2078</v>
      </c>
      <c r="M197" t="s">
        <v>370</v>
      </c>
    </row>
    <row r="198" spans="1:13" x14ac:dyDescent="0.2">
      <c r="A198" s="15" t="s">
        <v>25</v>
      </c>
      <c r="B198" s="15" t="s">
        <v>1202</v>
      </c>
      <c r="C198" s="13" t="s">
        <v>1627</v>
      </c>
      <c r="D198" s="13" t="s">
        <v>735</v>
      </c>
      <c r="J198" t="s">
        <v>25</v>
      </c>
      <c r="K198" t="s">
        <v>389</v>
      </c>
      <c r="L198" t="s">
        <v>2060</v>
      </c>
      <c r="M198" t="s">
        <v>371</v>
      </c>
    </row>
    <row r="199" spans="1:13" x14ac:dyDescent="0.2">
      <c r="A199" s="15" t="s">
        <v>25</v>
      </c>
      <c r="B199" s="15" t="s">
        <v>1203</v>
      </c>
      <c r="C199" s="13" t="s">
        <v>1628</v>
      </c>
      <c r="D199" s="13" t="s">
        <v>736</v>
      </c>
      <c r="J199" t="s">
        <v>25</v>
      </c>
      <c r="K199" t="s">
        <v>390</v>
      </c>
      <c r="L199" t="s">
        <v>2057</v>
      </c>
      <c r="M199" t="s">
        <v>372</v>
      </c>
    </row>
    <row r="200" spans="1:13" x14ac:dyDescent="0.2">
      <c r="A200" s="15" t="s">
        <v>25</v>
      </c>
      <c r="B200" s="15" t="s">
        <v>1204</v>
      </c>
      <c r="C200" s="13" t="s">
        <v>1625</v>
      </c>
      <c r="D200" s="13" t="s">
        <v>731</v>
      </c>
      <c r="J200" t="s">
        <v>25</v>
      </c>
      <c r="K200" t="s">
        <v>391</v>
      </c>
      <c r="L200" t="s">
        <v>1902</v>
      </c>
      <c r="M200" t="s">
        <v>373</v>
      </c>
    </row>
    <row r="201" spans="1:13" x14ac:dyDescent="0.2">
      <c r="A201" s="15" t="s">
        <v>25</v>
      </c>
      <c r="B201" s="15" t="s">
        <v>1199</v>
      </c>
      <c r="C201" s="13" t="s">
        <v>1623</v>
      </c>
      <c r="D201" s="13" t="s">
        <v>732</v>
      </c>
      <c r="J201" t="s">
        <v>25</v>
      </c>
      <c r="K201" t="s">
        <v>392</v>
      </c>
      <c r="L201" t="s">
        <v>2058</v>
      </c>
      <c r="M201" t="s">
        <v>374</v>
      </c>
    </row>
    <row r="202" spans="1:13" x14ac:dyDescent="0.2">
      <c r="A202" s="15" t="s">
        <v>25</v>
      </c>
      <c r="B202" s="15" t="s">
        <v>1200</v>
      </c>
      <c r="C202" s="13" t="s">
        <v>1624</v>
      </c>
      <c r="D202" s="13" t="s">
        <v>733</v>
      </c>
      <c r="J202" t="s">
        <v>25</v>
      </c>
      <c r="K202" t="s">
        <v>393</v>
      </c>
      <c r="L202" t="s">
        <v>2059</v>
      </c>
      <c r="M202" t="s">
        <v>375</v>
      </c>
    </row>
    <row r="203" spans="1:13" x14ac:dyDescent="0.2">
      <c r="A203" s="15" t="s">
        <v>25</v>
      </c>
      <c r="B203" s="15" t="s">
        <v>1223</v>
      </c>
      <c r="C203" s="13" t="s">
        <v>1665</v>
      </c>
      <c r="D203" s="13" t="s">
        <v>993</v>
      </c>
      <c r="J203" t="s">
        <v>25</v>
      </c>
      <c r="K203" t="s">
        <v>136</v>
      </c>
      <c r="L203" t="s">
        <v>2079</v>
      </c>
      <c r="M203" t="s">
        <v>376</v>
      </c>
    </row>
    <row r="204" spans="1:13" x14ac:dyDescent="0.2">
      <c r="A204" s="15" t="s">
        <v>25</v>
      </c>
      <c r="B204" s="15" t="s">
        <v>1294</v>
      </c>
      <c r="C204" s="13" t="s">
        <v>1666</v>
      </c>
      <c r="D204" s="13" t="s">
        <v>994</v>
      </c>
      <c r="J204" t="s">
        <v>25</v>
      </c>
      <c r="K204" t="s">
        <v>137</v>
      </c>
      <c r="L204" t="s">
        <v>2064</v>
      </c>
      <c r="M204" t="s">
        <v>377</v>
      </c>
    </row>
    <row r="205" spans="1:13" x14ac:dyDescent="0.2">
      <c r="A205" s="15" t="s">
        <v>25</v>
      </c>
      <c r="B205" s="15" t="s">
        <v>1295</v>
      </c>
      <c r="C205" s="13" t="s">
        <v>1667</v>
      </c>
      <c r="D205" s="13" t="s">
        <v>995</v>
      </c>
      <c r="J205" t="s">
        <v>25</v>
      </c>
      <c r="K205" t="s">
        <v>138</v>
      </c>
      <c r="L205" t="s">
        <v>2061</v>
      </c>
      <c r="M205" t="s">
        <v>378</v>
      </c>
    </row>
    <row r="206" spans="1:13" x14ac:dyDescent="0.2">
      <c r="A206" s="15" t="s">
        <v>25</v>
      </c>
      <c r="B206" s="15" t="s">
        <v>1296</v>
      </c>
      <c r="C206" s="13" t="s">
        <v>1668</v>
      </c>
      <c r="D206" s="13" t="s">
        <v>996</v>
      </c>
      <c r="J206" t="s">
        <v>25</v>
      </c>
      <c r="K206" t="s">
        <v>139</v>
      </c>
      <c r="L206" t="s">
        <v>1903</v>
      </c>
      <c r="M206" t="s">
        <v>379</v>
      </c>
    </row>
    <row r="207" spans="1:13" x14ac:dyDescent="0.2">
      <c r="A207" s="15" t="s">
        <v>25</v>
      </c>
      <c r="B207" s="15" t="s">
        <v>1297</v>
      </c>
      <c r="C207" s="13" t="s">
        <v>1669</v>
      </c>
      <c r="D207" s="13" t="s">
        <v>997</v>
      </c>
      <c r="J207" t="s">
        <v>25</v>
      </c>
      <c r="K207" t="s">
        <v>140</v>
      </c>
      <c r="L207" t="s">
        <v>2062</v>
      </c>
      <c r="M207" t="s">
        <v>380</v>
      </c>
    </row>
    <row r="208" spans="1:13" x14ac:dyDescent="0.2">
      <c r="A208" s="15" t="s">
        <v>25</v>
      </c>
      <c r="B208" s="15" t="s">
        <v>1298</v>
      </c>
      <c r="C208" s="13" t="s">
        <v>1670</v>
      </c>
      <c r="D208" s="13" t="s">
        <v>998</v>
      </c>
      <c r="J208" t="s">
        <v>25</v>
      </c>
      <c r="K208" t="s">
        <v>141</v>
      </c>
      <c r="L208" t="s">
        <v>2063</v>
      </c>
      <c r="M208" t="s">
        <v>381</v>
      </c>
    </row>
    <row r="209" spans="1:13" x14ac:dyDescent="0.2">
      <c r="A209" s="15" t="s">
        <v>25</v>
      </c>
      <c r="B209" s="15" t="s">
        <v>1299</v>
      </c>
      <c r="C209" s="13" t="s">
        <v>1671</v>
      </c>
      <c r="D209" s="13" t="s">
        <v>999</v>
      </c>
      <c r="J209" t="s">
        <v>26</v>
      </c>
      <c r="K209" t="s">
        <v>382</v>
      </c>
      <c r="L209" t="s">
        <v>2080</v>
      </c>
      <c r="M209" t="s">
        <v>396</v>
      </c>
    </row>
    <row r="210" spans="1:13" x14ac:dyDescent="0.2">
      <c r="A210" s="15" t="s">
        <v>25</v>
      </c>
      <c r="B210" s="15" t="s">
        <v>1300</v>
      </c>
      <c r="C210" s="13" t="s">
        <v>1672</v>
      </c>
      <c r="D210" s="13" t="s">
        <v>1000</v>
      </c>
      <c r="J210" t="s">
        <v>26</v>
      </c>
      <c r="K210" t="s">
        <v>383</v>
      </c>
      <c r="L210" t="s">
        <v>2068</v>
      </c>
      <c r="M210" t="s">
        <v>397</v>
      </c>
    </row>
    <row r="211" spans="1:13" x14ac:dyDescent="0.2">
      <c r="A211" s="15" t="s">
        <v>25</v>
      </c>
      <c r="B211" s="15" t="s">
        <v>1301</v>
      </c>
      <c r="C211" s="13" t="s">
        <v>1673</v>
      </c>
      <c r="D211" s="13" t="s">
        <v>1001</v>
      </c>
      <c r="J211" t="s">
        <v>26</v>
      </c>
      <c r="K211" t="s">
        <v>384</v>
      </c>
      <c r="L211" t="s">
        <v>2065</v>
      </c>
      <c r="M211" t="s">
        <v>400</v>
      </c>
    </row>
    <row r="212" spans="1:13" x14ac:dyDescent="0.2">
      <c r="A212" s="15" t="s">
        <v>25</v>
      </c>
      <c r="B212" s="15" t="s">
        <v>1302</v>
      </c>
      <c r="C212" s="13" t="s">
        <v>1674</v>
      </c>
      <c r="D212" s="13" t="s">
        <v>1002</v>
      </c>
      <c r="J212" t="s">
        <v>26</v>
      </c>
      <c r="K212" t="s">
        <v>385</v>
      </c>
      <c r="L212" t="s">
        <v>1904</v>
      </c>
      <c r="M212" t="s">
        <v>403</v>
      </c>
    </row>
    <row r="213" spans="1:13" x14ac:dyDescent="0.2">
      <c r="A213" s="15" t="s">
        <v>25</v>
      </c>
      <c r="B213" s="15" t="s">
        <v>1303</v>
      </c>
      <c r="C213" s="13" t="s">
        <v>1675</v>
      </c>
      <c r="D213" s="13" t="s">
        <v>1003</v>
      </c>
      <c r="J213" t="s">
        <v>26</v>
      </c>
      <c r="K213" t="s">
        <v>386</v>
      </c>
      <c r="L213" t="s">
        <v>2066</v>
      </c>
      <c r="M213" t="s">
        <v>406</v>
      </c>
    </row>
    <row r="214" spans="1:13" x14ac:dyDescent="0.2">
      <c r="A214" s="15" t="s">
        <v>25</v>
      </c>
      <c r="B214" s="15" t="s">
        <v>1304</v>
      </c>
      <c r="C214" s="13" t="s">
        <v>1676</v>
      </c>
      <c r="D214" s="13" t="s">
        <v>1004</v>
      </c>
      <c r="J214" t="s">
        <v>26</v>
      </c>
      <c r="K214" t="s">
        <v>387</v>
      </c>
      <c r="L214" t="s">
        <v>2067</v>
      </c>
      <c r="M214" t="s">
        <v>409</v>
      </c>
    </row>
    <row r="215" spans="1:13" x14ac:dyDescent="0.2">
      <c r="A215" s="15" t="s">
        <v>25</v>
      </c>
      <c r="B215" s="15" t="s">
        <v>316</v>
      </c>
      <c r="C215" s="13" t="s">
        <v>2008</v>
      </c>
      <c r="D215" s="13" t="s">
        <v>292</v>
      </c>
      <c r="J215" t="s">
        <v>26</v>
      </c>
      <c r="K215" t="s">
        <v>388</v>
      </c>
      <c r="L215" t="s">
        <v>2081</v>
      </c>
      <c r="M215" t="s">
        <v>394</v>
      </c>
    </row>
    <row r="216" spans="1:13" x14ac:dyDescent="0.2">
      <c r="A216" s="15" t="s">
        <v>25</v>
      </c>
      <c r="B216" s="15" t="s">
        <v>317</v>
      </c>
      <c r="C216" s="13" t="s">
        <v>2004</v>
      </c>
      <c r="D216" s="13" t="s">
        <v>293</v>
      </c>
      <c r="J216" t="s">
        <v>26</v>
      </c>
      <c r="K216" t="s">
        <v>389</v>
      </c>
      <c r="L216" t="s">
        <v>2069</v>
      </c>
      <c r="M216" t="s">
        <v>398</v>
      </c>
    </row>
    <row r="217" spans="1:13" x14ac:dyDescent="0.2">
      <c r="A217" s="15" t="s">
        <v>25</v>
      </c>
      <c r="B217" s="15" t="s">
        <v>318</v>
      </c>
      <c r="C217" s="13" t="s">
        <v>2005</v>
      </c>
      <c r="D217" s="13" t="s">
        <v>294</v>
      </c>
      <c r="J217" t="s">
        <v>26</v>
      </c>
      <c r="K217" t="s">
        <v>390</v>
      </c>
      <c r="L217" t="s">
        <v>2070</v>
      </c>
      <c r="M217" t="s">
        <v>401</v>
      </c>
    </row>
    <row r="218" spans="1:13" x14ac:dyDescent="0.2">
      <c r="A218" s="15" t="s">
        <v>25</v>
      </c>
      <c r="B218" s="15" t="s">
        <v>319</v>
      </c>
      <c r="C218" s="13" t="s">
        <v>1893</v>
      </c>
      <c r="D218" s="13" t="s">
        <v>295</v>
      </c>
      <c r="J218" t="s">
        <v>26</v>
      </c>
      <c r="K218" t="s">
        <v>391</v>
      </c>
      <c r="L218" t="s">
        <v>1905</v>
      </c>
      <c r="M218" t="s">
        <v>404</v>
      </c>
    </row>
    <row r="219" spans="1:13" x14ac:dyDescent="0.2">
      <c r="A219" s="15" t="s">
        <v>25</v>
      </c>
      <c r="B219" s="15" t="s">
        <v>320</v>
      </c>
      <c r="C219" s="13" t="s">
        <v>2006</v>
      </c>
      <c r="D219" s="13" t="s">
        <v>296</v>
      </c>
      <c r="J219" t="s">
        <v>26</v>
      </c>
      <c r="K219" t="s">
        <v>392</v>
      </c>
      <c r="L219" t="s">
        <v>2071</v>
      </c>
      <c r="M219" t="s">
        <v>407</v>
      </c>
    </row>
    <row r="220" spans="1:13" x14ac:dyDescent="0.2">
      <c r="A220" s="15" t="s">
        <v>25</v>
      </c>
      <c r="B220" s="15" t="s">
        <v>321</v>
      </c>
      <c r="C220" s="13" t="s">
        <v>2007</v>
      </c>
      <c r="D220" s="13" t="s">
        <v>297</v>
      </c>
      <c r="J220" t="s">
        <v>26</v>
      </c>
      <c r="K220" t="s">
        <v>393</v>
      </c>
      <c r="L220" t="s">
        <v>2072</v>
      </c>
      <c r="M220" t="s">
        <v>410</v>
      </c>
    </row>
    <row r="221" spans="1:13" x14ac:dyDescent="0.2">
      <c r="A221" s="15" t="s">
        <v>25</v>
      </c>
      <c r="B221" s="15" t="s">
        <v>1219</v>
      </c>
      <c r="C221" s="13" t="s">
        <v>1662</v>
      </c>
      <c r="D221" s="13" t="s">
        <v>770</v>
      </c>
      <c r="J221" t="s">
        <v>26</v>
      </c>
      <c r="K221" t="s">
        <v>136</v>
      </c>
      <c r="L221" t="s">
        <v>2082</v>
      </c>
      <c r="M221" t="s">
        <v>395</v>
      </c>
    </row>
    <row r="222" spans="1:13" x14ac:dyDescent="0.2">
      <c r="A222" s="15" t="s">
        <v>25</v>
      </c>
      <c r="B222" s="15" t="s">
        <v>1220</v>
      </c>
      <c r="C222" s="13" t="s">
        <v>1663</v>
      </c>
      <c r="D222" s="13" t="s">
        <v>771</v>
      </c>
      <c r="J222" t="s">
        <v>26</v>
      </c>
      <c r="K222" t="s">
        <v>137</v>
      </c>
      <c r="L222" t="s">
        <v>2073</v>
      </c>
      <c r="M222" t="s">
        <v>399</v>
      </c>
    </row>
    <row r="223" spans="1:13" x14ac:dyDescent="0.2">
      <c r="A223" s="15" t="s">
        <v>25</v>
      </c>
      <c r="B223" s="15" t="s">
        <v>1221</v>
      </c>
      <c r="C223" s="13" t="s">
        <v>1664</v>
      </c>
      <c r="D223" s="13" t="s">
        <v>772</v>
      </c>
      <c r="J223" t="s">
        <v>26</v>
      </c>
      <c r="K223" t="s">
        <v>138</v>
      </c>
      <c r="L223" t="s">
        <v>2074</v>
      </c>
      <c r="M223" t="s">
        <v>402</v>
      </c>
    </row>
    <row r="224" spans="1:13" x14ac:dyDescent="0.2">
      <c r="A224" s="15" t="s">
        <v>25</v>
      </c>
      <c r="B224" s="15" t="s">
        <v>322</v>
      </c>
      <c r="C224" s="13" t="s">
        <v>2013</v>
      </c>
      <c r="D224" s="13" t="s">
        <v>298</v>
      </c>
      <c r="J224" t="s">
        <v>26</v>
      </c>
      <c r="K224" t="s">
        <v>139</v>
      </c>
      <c r="L224" t="s">
        <v>1906</v>
      </c>
      <c r="M224" t="s">
        <v>405</v>
      </c>
    </row>
    <row r="225" spans="1:13" x14ac:dyDescent="0.2">
      <c r="A225" s="15" t="s">
        <v>25</v>
      </c>
      <c r="B225" s="15" t="s">
        <v>323</v>
      </c>
      <c r="C225" s="13" t="s">
        <v>2009</v>
      </c>
      <c r="D225" s="13" t="s">
        <v>299</v>
      </c>
      <c r="J225" t="s">
        <v>26</v>
      </c>
      <c r="K225" t="s">
        <v>140</v>
      </c>
      <c r="L225" t="s">
        <v>2075</v>
      </c>
      <c r="M225" t="s">
        <v>408</v>
      </c>
    </row>
    <row r="226" spans="1:13" x14ac:dyDescent="0.2">
      <c r="A226" s="15" t="s">
        <v>25</v>
      </c>
      <c r="B226" s="15" t="s">
        <v>324</v>
      </c>
      <c r="C226" s="13" t="s">
        <v>2010</v>
      </c>
      <c r="D226" s="13" t="s">
        <v>300</v>
      </c>
      <c r="J226" t="s">
        <v>26</v>
      </c>
      <c r="K226" t="s">
        <v>141</v>
      </c>
      <c r="L226" t="s">
        <v>2076</v>
      </c>
      <c r="M226" t="s">
        <v>411</v>
      </c>
    </row>
    <row r="227" spans="1:13" x14ac:dyDescent="0.2">
      <c r="A227" s="15" t="s">
        <v>25</v>
      </c>
      <c r="B227" s="15" t="s">
        <v>325</v>
      </c>
      <c r="C227" s="13" t="s">
        <v>1894</v>
      </c>
      <c r="D227" s="13" t="s">
        <v>301</v>
      </c>
      <c r="J227" t="s">
        <v>26</v>
      </c>
      <c r="K227" t="s">
        <v>412</v>
      </c>
      <c r="L227" t="s">
        <v>2077</v>
      </c>
      <c r="M227" t="s">
        <v>413</v>
      </c>
    </row>
    <row r="228" spans="1:13" x14ac:dyDescent="0.2">
      <c r="A228" s="15" t="s">
        <v>25</v>
      </c>
      <c r="B228" s="15" t="s">
        <v>326</v>
      </c>
      <c r="C228" s="13" t="s">
        <v>2011</v>
      </c>
      <c r="D228" s="13" t="s">
        <v>302</v>
      </c>
      <c r="J228" t="s">
        <v>25</v>
      </c>
      <c r="K228" t="s">
        <v>414</v>
      </c>
      <c r="L228" t="s">
        <v>1382</v>
      </c>
      <c r="M228" t="s">
        <v>444</v>
      </c>
    </row>
    <row r="229" spans="1:13" x14ac:dyDescent="0.2">
      <c r="A229" s="15" t="s">
        <v>25</v>
      </c>
      <c r="B229" s="15" t="s">
        <v>1222</v>
      </c>
      <c r="C229" s="13" t="s">
        <v>1661</v>
      </c>
      <c r="D229" s="13" t="s">
        <v>767</v>
      </c>
      <c r="J229" t="s">
        <v>25</v>
      </c>
      <c r="K229" t="s">
        <v>415</v>
      </c>
      <c r="L229" t="s">
        <v>1377</v>
      </c>
      <c r="M229" t="s">
        <v>445</v>
      </c>
    </row>
    <row r="230" spans="1:13" x14ac:dyDescent="0.2">
      <c r="A230" s="15" t="s">
        <v>25</v>
      </c>
      <c r="B230" s="15" t="s">
        <v>327</v>
      </c>
      <c r="C230" s="13" t="s">
        <v>2012</v>
      </c>
      <c r="D230" s="13" t="s">
        <v>303</v>
      </c>
      <c r="J230" t="s">
        <v>25</v>
      </c>
      <c r="K230" t="s">
        <v>416</v>
      </c>
      <c r="L230" t="s">
        <v>1378</v>
      </c>
      <c r="M230" t="s">
        <v>446</v>
      </c>
    </row>
    <row r="231" spans="1:13" x14ac:dyDescent="0.2">
      <c r="A231" s="15" t="s">
        <v>25</v>
      </c>
      <c r="B231" s="15" t="s">
        <v>1217</v>
      </c>
      <c r="C231" s="13" t="s">
        <v>1659</v>
      </c>
      <c r="D231" s="13" t="s">
        <v>768</v>
      </c>
      <c r="J231" t="s">
        <v>25</v>
      </c>
      <c r="K231" t="s">
        <v>417</v>
      </c>
      <c r="L231" t="s">
        <v>1379</v>
      </c>
      <c r="M231" t="s">
        <v>447</v>
      </c>
    </row>
    <row r="232" spans="1:13" x14ac:dyDescent="0.2">
      <c r="A232" s="15" t="s">
        <v>25</v>
      </c>
      <c r="B232" s="15" t="s">
        <v>1218</v>
      </c>
      <c r="C232" s="13" t="s">
        <v>1660</v>
      </c>
      <c r="D232" s="13" t="s">
        <v>769</v>
      </c>
      <c r="J232" t="s">
        <v>25</v>
      </c>
      <c r="K232" t="s">
        <v>418</v>
      </c>
      <c r="L232" t="s">
        <v>1380</v>
      </c>
      <c r="M232" t="s">
        <v>448</v>
      </c>
    </row>
    <row r="233" spans="1:13" x14ac:dyDescent="0.2">
      <c r="A233" s="15" t="s">
        <v>25</v>
      </c>
      <c r="B233" s="15" t="s">
        <v>1308</v>
      </c>
      <c r="C233" s="13" t="s">
        <v>1702</v>
      </c>
      <c r="D233" s="13" t="s">
        <v>1026</v>
      </c>
      <c r="J233" t="s">
        <v>25</v>
      </c>
      <c r="K233" t="s">
        <v>419</v>
      </c>
      <c r="L233" t="s">
        <v>1381</v>
      </c>
      <c r="M233" t="s">
        <v>449</v>
      </c>
    </row>
    <row r="234" spans="1:13" x14ac:dyDescent="0.2">
      <c r="A234" s="15" t="s">
        <v>25</v>
      </c>
      <c r="B234" s="15" t="s">
        <v>1309</v>
      </c>
      <c r="C234" s="13" t="s">
        <v>1703</v>
      </c>
      <c r="D234" s="13" t="s">
        <v>1027</v>
      </c>
      <c r="J234" t="s">
        <v>25</v>
      </c>
      <c r="K234" t="s">
        <v>420</v>
      </c>
      <c r="L234" t="s">
        <v>1388</v>
      </c>
      <c r="M234" t="s">
        <v>450</v>
      </c>
    </row>
    <row r="235" spans="1:13" x14ac:dyDescent="0.2">
      <c r="A235" s="15" t="s">
        <v>25</v>
      </c>
      <c r="B235" s="15" t="s">
        <v>1310</v>
      </c>
      <c r="C235" s="13" t="s">
        <v>1704</v>
      </c>
      <c r="D235" s="13" t="s">
        <v>1028</v>
      </c>
      <c r="J235" t="s">
        <v>25</v>
      </c>
      <c r="K235" t="s">
        <v>421</v>
      </c>
      <c r="L235" t="s">
        <v>1383</v>
      </c>
      <c r="M235" t="s">
        <v>451</v>
      </c>
    </row>
    <row r="236" spans="1:13" x14ac:dyDescent="0.2">
      <c r="A236" s="15" t="s">
        <v>25</v>
      </c>
      <c r="B236" s="15" t="s">
        <v>1311</v>
      </c>
      <c r="C236" s="13" t="s">
        <v>1705</v>
      </c>
      <c r="D236" s="13" t="s">
        <v>1029</v>
      </c>
      <c r="J236" t="s">
        <v>25</v>
      </c>
      <c r="K236" t="s">
        <v>422</v>
      </c>
      <c r="L236" t="s">
        <v>1384</v>
      </c>
      <c r="M236" t="s">
        <v>452</v>
      </c>
    </row>
    <row r="237" spans="1:13" x14ac:dyDescent="0.2">
      <c r="A237" s="15" t="s">
        <v>25</v>
      </c>
      <c r="B237" s="15" t="s">
        <v>1312</v>
      </c>
      <c r="C237" s="13" t="s">
        <v>1706</v>
      </c>
      <c r="D237" s="13" t="s">
        <v>1030</v>
      </c>
      <c r="J237" t="s">
        <v>25</v>
      </c>
      <c r="K237" t="s">
        <v>423</v>
      </c>
      <c r="L237" t="s">
        <v>1385</v>
      </c>
      <c r="M237" t="s">
        <v>453</v>
      </c>
    </row>
    <row r="238" spans="1:13" x14ac:dyDescent="0.2">
      <c r="A238" s="15" t="s">
        <v>25</v>
      </c>
      <c r="B238" s="15" t="s">
        <v>1313</v>
      </c>
      <c r="C238" s="13" t="s">
        <v>1707</v>
      </c>
      <c r="D238" s="13" t="s">
        <v>1031</v>
      </c>
      <c r="J238" t="s">
        <v>25</v>
      </c>
      <c r="K238" t="s">
        <v>424</v>
      </c>
      <c r="L238" t="s">
        <v>1386</v>
      </c>
      <c r="M238" t="s">
        <v>454</v>
      </c>
    </row>
    <row r="239" spans="1:13" x14ac:dyDescent="0.2">
      <c r="A239" s="15" t="s">
        <v>25</v>
      </c>
      <c r="B239" s="15" t="s">
        <v>1314</v>
      </c>
      <c r="C239" s="13" t="s">
        <v>1708</v>
      </c>
      <c r="D239" s="13" t="s">
        <v>1032</v>
      </c>
      <c r="J239" t="s">
        <v>25</v>
      </c>
      <c r="K239" t="s">
        <v>425</v>
      </c>
      <c r="L239" t="s">
        <v>1387</v>
      </c>
      <c r="M239" t="s">
        <v>455</v>
      </c>
    </row>
    <row r="240" spans="1:13" x14ac:dyDescent="0.2">
      <c r="A240" s="15" t="s">
        <v>25</v>
      </c>
      <c r="B240" s="15" t="s">
        <v>1315</v>
      </c>
      <c r="C240" s="13" t="s">
        <v>1709</v>
      </c>
      <c r="D240" s="13" t="s">
        <v>1033</v>
      </c>
      <c r="J240" t="s">
        <v>25</v>
      </c>
      <c r="K240" t="s">
        <v>426</v>
      </c>
      <c r="L240" t="s">
        <v>1394</v>
      </c>
      <c r="M240" t="s">
        <v>456</v>
      </c>
    </row>
    <row r="241" spans="1:13" x14ac:dyDescent="0.2">
      <c r="A241" s="15" t="s">
        <v>25</v>
      </c>
      <c r="B241" s="15" t="s">
        <v>1316</v>
      </c>
      <c r="C241" s="13" t="s">
        <v>1710</v>
      </c>
      <c r="D241" s="13" t="s">
        <v>1034</v>
      </c>
      <c r="J241" t="s">
        <v>25</v>
      </c>
      <c r="K241" t="s">
        <v>427</v>
      </c>
      <c r="L241" t="s">
        <v>1389</v>
      </c>
      <c r="M241" t="s">
        <v>457</v>
      </c>
    </row>
    <row r="242" spans="1:13" x14ac:dyDescent="0.2">
      <c r="A242" s="15" t="s">
        <v>25</v>
      </c>
      <c r="B242" s="15" t="s">
        <v>1317</v>
      </c>
      <c r="C242" s="13" t="s">
        <v>1711</v>
      </c>
      <c r="D242" s="13" t="s">
        <v>1035</v>
      </c>
      <c r="J242" t="s">
        <v>25</v>
      </c>
      <c r="K242" t="s">
        <v>428</v>
      </c>
      <c r="L242" t="s">
        <v>1390</v>
      </c>
      <c r="M242" t="s">
        <v>458</v>
      </c>
    </row>
    <row r="243" spans="1:13" x14ac:dyDescent="0.2">
      <c r="A243" s="15" t="s">
        <v>25</v>
      </c>
      <c r="B243" s="15" t="s">
        <v>1318</v>
      </c>
      <c r="C243" s="13" t="s">
        <v>1712</v>
      </c>
      <c r="D243" s="13" t="s">
        <v>1036</v>
      </c>
      <c r="J243" t="s">
        <v>25</v>
      </c>
      <c r="K243" t="s">
        <v>429</v>
      </c>
      <c r="L243" t="s">
        <v>1391</v>
      </c>
      <c r="M243" t="s">
        <v>459</v>
      </c>
    </row>
    <row r="244" spans="1:13" x14ac:dyDescent="0.2">
      <c r="A244" s="15" t="s">
        <v>25</v>
      </c>
      <c r="B244" s="15" t="s">
        <v>1319</v>
      </c>
      <c r="C244" s="13" t="s">
        <v>1713</v>
      </c>
      <c r="D244" s="13" t="s">
        <v>1037</v>
      </c>
      <c r="J244" t="s">
        <v>25</v>
      </c>
      <c r="K244" t="s">
        <v>430</v>
      </c>
      <c r="L244" t="s">
        <v>1392</v>
      </c>
      <c r="M244" t="s">
        <v>460</v>
      </c>
    </row>
    <row r="245" spans="1:13" x14ac:dyDescent="0.2">
      <c r="A245" s="15" t="s">
        <v>25</v>
      </c>
      <c r="B245" s="15" t="s">
        <v>1320</v>
      </c>
      <c r="C245" s="13" t="s">
        <v>1714</v>
      </c>
      <c r="D245" s="13" t="s">
        <v>1038</v>
      </c>
      <c r="J245" t="s">
        <v>25</v>
      </c>
      <c r="K245" t="s">
        <v>431</v>
      </c>
      <c r="L245" t="s">
        <v>1393</v>
      </c>
      <c r="M245" t="s">
        <v>461</v>
      </c>
    </row>
    <row r="246" spans="1:13" x14ac:dyDescent="0.2">
      <c r="A246" s="15" t="s">
        <v>25</v>
      </c>
      <c r="B246" s="15" t="s">
        <v>1321</v>
      </c>
      <c r="C246" s="13" t="s">
        <v>1715</v>
      </c>
      <c r="D246" s="13" t="s">
        <v>1039</v>
      </c>
      <c r="J246" t="s">
        <v>25</v>
      </c>
      <c r="K246" t="s">
        <v>432</v>
      </c>
      <c r="L246" t="s">
        <v>1395</v>
      </c>
      <c r="M246" t="s">
        <v>462</v>
      </c>
    </row>
    <row r="247" spans="1:13" x14ac:dyDescent="0.2">
      <c r="A247" s="15" t="s">
        <v>25</v>
      </c>
      <c r="B247" s="15" t="s">
        <v>1322</v>
      </c>
      <c r="C247" s="13" t="s">
        <v>1716</v>
      </c>
      <c r="D247" s="13" t="s">
        <v>1040</v>
      </c>
      <c r="J247" t="s">
        <v>25</v>
      </c>
      <c r="K247" t="s">
        <v>433</v>
      </c>
      <c r="L247" t="s">
        <v>1396</v>
      </c>
      <c r="M247" t="s">
        <v>463</v>
      </c>
    </row>
    <row r="248" spans="1:13" x14ac:dyDescent="0.2">
      <c r="A248" s="15" t="s">
        <v>25</v>
      </c>
      <c r="B248" s="15" t="s">
        <v>328</v>
      </c>
      <c r="C248" s="13" t="s">
        <v>2018</v>
      </c>
      <c r="D248" s="13" t="s">
        <v>304</v>
      </c>
      <c r="J248" t="s">
        <v>25</v>
      </c>
      <c r="K248" t="s">
        <v>434</v>
      </c>
      <c r="L248" t="s">
        <v>1397</v>
      </c>
      <c r="M248" t="s">
        <v>464</v>
      </c>
    </row>
    <row r="249" spans="1:13" x14ac:dyDescent="0.2">
      <c r="A249" s="15" t="s">
        <v>25</v>
      </c>
      <c r="B249" s="15" t="s">
        <v>329</v>
      </c>
      <c r="C249" s="13" t="s">
        <v>2014</v>
      </c>
      <c r="D249" s="13" t="s">
        <v>305</v>
      </c>
      <c r="J249" t="s">
        <v>25</v>
      </c>
      <c r="K249" t="s">
        <v>435</v>
      </c>
      <c r="L249" t="s">
        <v>1398</v>
      </c>
      <c r="M249" t="s">
        <v>465</v>
      </c>
    </row>
    <row r="250" spans="1:13" x14ac:dyDescent="0.2">
      <c r="A250" s="15" t="s">
        <v>25</v>
      </c>
      <c r="B250" s="15" t="s">
        <v>330</v>
      </c>
      <c r="C250" s="13" t="s">
        <v>2015</v>
      </c>
      <c r="D250" s="13" t="s">
        <v>306</v>
      </c>
      <c r="J250" t="s">
        <v>25</v>
      </c>
      <c r="K250" t="s">
        <v>436</v>
      </c>
      <c r="L250" t="s">
        <v>1399</v>
      </c>
      <c r="M250" t="s">
        <v>466</v>
      </c>
    </row>
    <row r="251" spans="1:13" x14ac:dyDescent="0.2">
      <c r="A251" s="15" t="s">
        <v>25</v>
      </c>
      <c r="B251" s="15" t="s">
        <v>331</v>
      </c>
      <c r="C251" s="13" t="s">
        <v>1895</v>
      </c>
      <c r="D251" s="13" t="s">
        <v>307</v>
      </c>
      <c r="J251" t="s">
        <v>25</v>
      </c>
      <c r="K251" t="s">
        <v>437</v>
      </c>
      <c r="L251" t="s">
        <v>1400</v>
      </c>
      <c r="M251" t="s">
        <v>467</v>
      </c>
    </row>
    <row r="252" spans="1:13" x14ac:dyDescent="0.2">
      <c r="A252" s="15" t="s">
        <v>25</v>
      </c>
      <c r="B252" s="15" t="s">
        <v>332</v>
      </c>
      <c r="C252" s="13" t="s">
        <v>2016</v>
      </c>
      <c r="D252" s="13" t="s">
        <v>308</v>
      </c>
      <c r="J252" t="s">
        <v>25</v>
      </c>
      <c r="K252" t="s">
        <v>438</v>
      </c>
      <c r="L252" t="s">
        <v>1405</v>
      </c>
      <c r="M252" t="s">
        <v>468</v>
      </c>
    </row>
    <row r="253" spans="1:13" x14ac:dyDescent="0.2">
      <c r="A253" s="15" t="s">
        <v>25</v>
      </c>
      <c r="B253" s="15" t="s">
        <v>333</v>
      </c>
      <c r="C253" s="13" t="s">
        <v>2017</v>
      </c>
      <c r="D253" s="13" t="s">
        <v>309</v>
      </c>
      <c r="J253" t="s">
        <v>25</v>
      </c>
      <c r="K253" t="s">
        <v>439</v>
      </c>
      <c r="L253" t="s">
        <v>1406</v>
      </c>
      <c r="M253" t="s">
        <v>469</v>
      </c>
    </row>
    <row r="254" spans="1:13" x14ac:dyDescent="0.2">
      <c r="A254" s="15" t="s">
        <v>25</v>
      </c>
      <c r="B254" s="15" t="s">
        <v>334</v>
      </c>
      <c r="C254" s="13" t="s">
        <v>2023</v>
      </c>
      <c r="D254" s="13" t="s">
        <v>310</v>
      </c>
      <c r="J254" t="s">
        <v>25</v>
      </c>
      <c r="K254" t="s">
        <v>440</v>
      </c>
      <c r="L254" t="s">
        <v>1401</v>
      </c>
      <c r="M254" t="s">
        <v>470</v>
      </c>
    </row>
    <row r="255" spans="1:13" x14ac:dyDescent="0.2">
      <c r="A255" s="15" t="s">
        <v>25</v>
      </c>
      <c r="B255" s="15" t="s">
        <v>335</v>
      </c>
      <c r="C255" s="13" t="s">
        <v>2019</v>
      </c>
      <c r="D255" s="13" t="s">
        <v>311</v>
      </c>
      <c r="J255" t="s">
        <v>25</v>
      </c>
      <c r="K255" t="s">
        <v>441</v>
      </c>
      <c r="L255" t="s">
        <v>1402</v>
      </c>
      <c r="M255" t="s">
        <v>471</v>
      </c>
    </row>
    <row r="256" spans="1:13" x14ac:dyDescent="0.2">
      <c r="A256" s="15" t="s">
        <v>25</v>
      </c>
      <c r="B256" s="15" t="s">
        <v>336</v>
      </c>
      <c r="C256" s="13" t="s">
        <v>2020</v>
      </c>
      <c r="D256" s="13" t="s">
        <v>312</v>
      </c>
      <c r="J256" t="s">
        <v>25</v>
      </c>
      <c r="K256" t="s">
        <v>442</v>
      </c>
      <c r="L256" t="s">
        <v>1403</v>
      </c>
      <c r="M256" t="s">
        <v>472</v>
      </c>
    </row>
    <row r="257" spans="1:13" x14ac:dyDescent="0.2">
      <c r="A257" s="15" t="s">
        <v>25</v>
      </c>
      <c r="B257" s="15" t="s">
        <v>337</v>
      </c>
      <c r="C257" s="13" t="s">
        <v>1896</v>
      </c>
      <c r="D257" s="13" t="s">
        <v>313</v>
      </c>
      <c r="J257" t="s">
        <v>25</v>
      </c>
      <c r="K257" t="s">
        <v>443</v>
      </c>
      <c r="L257" t="s">
        <v>1404</v>
      </c>
      <c r="M257" t="s">
        <v>473</v>
      </c>
    </row>
    <row r="258" spans="1:13" x14ac:dyDescent="0.2">
      <c r="A258" s="15" t="s">
        <v>25</v>
      </c>
      <c r="B258" s="15" t="s">
        <v>338</v>
      </c>
      <c r="C258" s="13" t="s">
        <v>2021</v>
      </c>
      <c r="D258" s="13" t="s">
        <v>314</v>
      </c>
      <c r="J258" t="s">
        <v>26</v>
      </c>
      <c r="K258" t="s">
        <v>414</v>
      </c>
      <c r="L258" t="s">
        <v>1407</v>
      </c>
      <c r="M258" t="s">
        <v>474</v>
      </c>
    </row>
    <row r="259" spans="1:13" x14ac:dyDescent="0.2">
      <c r="A259" s="15" t="s">
        <v>25</v>
      </c>
      <c r="B259" s="15" t="s">
        <v>1305</v>
      </c>
      <c r="C259" s="13" t="s">
        <v>1701</v>
      </c>
      <c r="D259" s="13" t="s">
        <v>1023</v>
      </c>
      <c r="J259" t="s">
        <v>26</v>
      </c>
      <c r="K259" t="s">
        <v>415</v>
      </c>
      <c r="L259" t="s">
        <v>1408</v>
      </c>
      <c r="M259" t="s">
        <v>479</v>
      </c>
    </row>
    <row r="260" spans="1:13" x14ac:dyDescent="0.2">
      <c r="A260" s="15" t="s">
        <v>25</v>
      </c>
      <c r="B260" s="15" t="s">
        <v>339</v>
      </c>
      <c r="C260" s="13" t="s">
        <v>2022</v>
      </c>
      <c r="D260" s="13" t="s">
        <v>315</v>
      </c>
      <c r="J260" t="s">
        <v>26</v>
      </c>
      <c r="K260" t="s">
        <v>416</v>
      </c>
      <c r="L260" t="s">
        <v>1409</v>
      </c>
      <c r="M260" t="s">
        <v>484</v>
      </c>
    </row>
    <row r="261" spans="1:13" x14ac:dyDescent="0.2">
      <c r="A261" s="15" t="s">
        <v>25</v>
      </c>
      <c r="B261" s="15" t="s">
        <v>512</v>
      </c>
      <c r="C261" s="13" t="s">
        <v>1442</v>
      </c>
      <c r="D261" s="13" t="s">
        <v>507</v>
      </c>
      <c r="J261" t="s">
        <v>26</v>
      </c>
      <c r="K261" t="s">
        <v>417</v>
      </c>
      <c r="L261" t="s">
        <v>1410</v>
      </c>
      <c r="M261" t="s">
        <v>489</v>
      </c>
    </row>
    <row r="262" spans="1:13" x14ac:dyDescent="0.2">
      <c r="A262" s="15" t="s">
        <v>25</v>
      </c>
      <c r="B262" s="15" t="s">
        <v>513</v>
      </c>
      <c r="C262" s="13" t="s">
        <v>1443</v>
      </c>
      <c r="D262" s="13" t="s">
        <v>508</v>
      </c>
      <c r="J262" t="s">
        <v>26</v>
      </c>
      <c r="K262" t="s">
        <v>418</v>
      </c>
      <c r="L262" t="s">
        <v>1411</v>
      </c>
      <c r="M262" t="s">
        <v>494</v>
      </c>
    </row>
    <row r="263" spans="1:13" x14ac:dyDescent="0.2">
      <c r="A263" s="15" t="s">
        <v>25</v>
      </c>
      <c r="B263" s="15" t="s">
        <v>509</v>
      </c>
      <c r="C263" s="13" t="s">
        <v>1439</v>
      </c>
      <c r="D263" s="13" t="s">
        <v>504</v>
      </c>
      <c r="J263" t="s">
        <v>26</v>
      </c>
      <c r="K263" t="s">
        <v>419</v>
      </c>
      <c r="L263" t="s">
        <v>1412</v>
      </c>
      <c r="M263" t="s">
        <v>499</v>
      </c>
    </row>
    <row r="264" spans="1:13" x14ac:dyDescent="0.2">
      <c r="A264" s="15" t="s">
        <v>25</v>
      </c>
      <c r="B264" s="15" t="s">
        <v>1306</v>
      </c>
      <c r="C264" s="13" t="s">
        <v>1699</v>
      </c>
      <c r="D264" s="13" t="s">
        <v>1024</v>
      </c>
      <c r="J264" t="s">
        <v>26</v>
      </c>
      <c r="K264" t="s">
        <v>420</v>
      </c>
      <c r="L264" t="s">
        <v>1413</v>
      </c>
      <c r="M264" t="s">
        <v>475</v>
      </c>
    </row>
    <row r="265" spans="1:13" x14ac:dyDescent="0.2">
      <c r="A265" s="15" t="s">
        <v>25</v>
      </c>
      <c r="B265" s="15" t="s">
        <v>1307</v>
      </c>
      <c r="C265" s="13" t="s">
        <v>1700</v>
      </c>
      <c r="D265" s="13" t="s">
        <v>1025</v>
      </c>
      <c r="J265" t="s">
        <v>26</v>
      </c>
      <c r="K265" t="s">
        <v>421</v>
      </c>
      <c r="L265" t="s">
        <v>1414</v>
      </c>
      <c r="M265" t="s">
        <v>480</v>
      </c>
    </row>
    <row r="266" spans="1:13" x14ac:dyDescent="0.2">
      <c r="A266" s="15" t="s">
        <v>25</v>
      </c>
      <c r="B266" s="15" t="s">
        <v>1326</v>
      </c>
      <c r="C266" s="13" t="s">
        <v>1738</v>
      </c>
      <c r="D266" s="13" t="s">
        <v>1062</v>
      </c>
      <c r="J266" t="s">
        <v>26</v>
      </c>
      <c r="K266" t="s">
        <v>422</v>
      </c>
      <c r="L266" t="s">
        <v>1415</v>
      </c>
      <c r="M266" t="s">
        <v>485</v>
      </c>
    </row>
    <row r="267" spans="1:13" x14ac:dyDescent="0.2">
      <c r="A267" s="15" t="s">
        <v>25</v>
      </c>
      <c r="B267" s="15" t="s">
        <v>1327</v>
      </c>
      <c r="C267" s="13" t="s">
        <v>1739</v>
      </c>
      <c r="D267" s="13" t="s">
        <v>1063</v>
      </c>
      <c r="J267" t="s">
        <v>26</v>
      </c>
      <c r="K267" t="s">
        <v>423</v>
      </c>
      <c r="L267" t="s">
        <v>1416</v>
      </c>
      <c r="M267" t="s">
        <v>490</v>
      </c>
    </row>
    <row r="268" spans="1:13" x14ac:dyDescent="0.2">
      <c r="A268" s="15" t="s">
        <v>25</v>
      </c>
      <c r="B268" s="15" t="s">
        <v>1328</v>
      </c>
      <c r="C268" s="13" t="s">
        <v>1740</v>
      </c>
      <c r="D268" s="13" t="s">
        <v>1064</v>
      </c>
      <c r="J268" t="s">
        <v>26</v>
      </c>
      <c r="K268" t="s">
        <v>424</v>
      </c>
      <c r="L268" t="s">
        <v>1417</v>
      </c>
      <c r="M268" t="s">
        <v>495</v>
      </c>
    </row>
    <row r="269" spans="1:13" x14ac:dyDescent="0.2">
      <c r="A269" s="15" t="s">
        <v>25</v>
      </c>
      <c r="B269" s="15" t="s">
        <v>1329</v>
      </c>
      <c r="C269" s="13" t="s">
        <v>1741</v>
      </c>
      <c r="D269" s="13" t="s">
        <v>1065</v>
      </c>
      <c r="J269" t="s">
        <v>26</v>
      </c>
      <c r="K269" t="s">
        <v>425</v>
      </c>
      <c r="L269" t="s">
        <v>1418</v>
      </c>
      <c r="M269" t="s">
        <v>500</v>
      </c>
    </row>
    <row r="270" spans="1:13" x14ac:dyDescent="0.2">
      <c r="A270" s="15" t="s">
        <v>25</v>
      </c>
      <c r="B270" s="15" t="s">
        <v>1330</v>
      </c>
      <c r="C270" s="13" t="s">
        <v>1742</v>
      </c>
      <c r="D270" s="13" t="s">
        <v>1066</v>
      </c>
      <c r="J270" t="s">
        <v>26</v>
      </c>
      <c r="K270" t="s">
        <v>426</v>
      </c>
      <c r="L270" t="s">
        <v>1419</v>
      </c>
      <c r="M270" t="s">
        <v>476</v>
      </c>
    </row>
    <row r="271" spans="1:13" x14ac:dyDescent="0.2">
      <c r="A271" s="15" t="s">
        <v>25</v>
      </c>
      <c r="B271" s="15" t="s">
        <v>1331</v>
      </c>
      <c r="C271" s="13" t="s">
        <v>1743</v>
      </c>
      <c r="D271" s="13" t="s">
        <v>1067</v>
      </c>
      <c r="J271" t="s">
        <v>26</v>
      </c>
      <c r="K271" t="s">
        <v>427</v>
      </c>
      <c r="L271" t="s">
        <v>1420</v>
      </c>
      <c r="M271" t="s">
        <v>481</v>
      </c>
    </row>
    <row r="272" spans="1:13" x14ac:dyDescent="0.2">
      <c r="A272" s="15" t="s">
        <v>25</v>
      </c>
      <c r="B272" s="15" t="s">
        <v>1332</v>
      </c>
      <c r="C272" s="13" t="s">
        <v>1744</v>
      </c>
      <c r="D272" s="13" t="s">
        <v>1068</v>
      </c>
      <c r="J272" t="s">
        <v>26</v>
      </c>
      <c r="K272" t="s">
        <v>428</v>
      </c>
      <c r="L272" t="s">
        <v>1421</v>
      </c>
      <c r="M272" t="s">
        <v>486</v>
      </c>
    </row>
    <row r="273" spans="1:13" x14ac:dyDescent="0.2">
      <c r="A273" s="15" t="s">
        <v>25</v>
      </c>
      <c r="B273" s="15" t="s">
        <v>1333</v>
      </c>
      <c r="C273" s="13" t="s">
        <v>1745</v>
      </c>
      <c r="D273" s="13" t="s">
        <v>1069</v>
      </c>
      <c r="J273" t="s">
        <v>26</v>
      </c>
      <c r="K273" t="s">
        <v>429</v>
      </c>
      <c r="L273" t="s">
        <v>1422</v>
      </c>
      <c r="M273" t="s">
        <v>491</v>
      </c>
    </row>
    <row r="274" spans="1:13" x14ac:dyDescent="0.2">
      <c r="A274" s="15" t="s">
        <v>25</v>
      </c>
      <c r="B274" s="15" t="s">
        <v>1334</v>
      </c>
      <c r="C274" s="13" t="s">
        <v>1746</v>
      </c>
      <c r="D274" s="13" t="s">
        <v>1070</v>
      </c>
      <c r="J274" t="s">
        <v>26</v>
      </c>
      <c r="K274" t="s">
        <v>430</v>
      </c>
      <c r="L274" t="s">
        <v>1423</v>
      </c>
      <c r="M274" t="s">
        <v>496</v>
      </c>
    </row>
    <row r="275" spans="1:13" x14ac:dyDescent="0.2">
      <c r="A275" s="15" t="s">
        <v>25</v>
      </c>
      <c r="B275" s="15" t="s">
        <v>1335</v>
      </c>
      <c r="C275" s="13" t="s">
        <v>1747</v>
      </c>
      <c r="D275" s="13" t="s">
        <v>1071</v>
      </c>
      <c r="J275" t="s">
        <v>26</v>
      </c>
      <c r="K275" t="s">
        <v>431</v>
      </c>
      <c r="L275" t="s">
        <v>1424</v>
      </c>
      <c r="M275" t="s">
        <v>501</v>
      </c>
    </row>
    <row r="276" spans="1:13" x14ac:dyDescent="0.2">
      <c r="A276" s="15" t="s">
        <v>25</v>
      </c>
      <c r="B276" s="15" t="s">
        <v>1336</v>
      </c>
      <c r="C276" s="13" t="s">
        <v>1748</v>
      </c>
      <c r="D276" s="13" t="s">
        <v>1076</v>
      </c>
      <c r="J276" t="s">
        <v>26</v>
      </c>
      <c r="K276" t="s">
        <v>432</v>
      </c>
      <c r="L276" t="s">
        <v>1425</v>
      </c>
      <c r="M276" t="s">
        <v>477</v>
      </c>
    </row>
    <row r="277" spans="1:13" x14ac:dyDescent="0.2">
      <c r="A277" s="15" t="s">
        <v>25</v>
      </c>
      <c r="B277" s="15" t="s">
        <v>1337</v>
      </c>
      <c r="C277" s="13" t="s">
        <v>1749</v>
      </c>
      <c r="D277" s="13" t="s">
        <v>1077</v>
      </c>
      <c r="J277" t="s">
        <v>26</v>
      </c>
      <c r="K277" t="s">
        <v>433</v>
      </c>
      <c r="L277" t="s">
        <v>1426</v>
      </c>
      <c r="M277" t="s">
        <v>482</v>
      </c>
    </row>
    <row r="278" spans="1:13" x14ac:dyDescent="0.2">
      <c r="A278" s="15" t="s">
        <v>25</v>
      </c>
      <c r="B278" s="15" t="s">
        <v>1338</v>
      </c>
      <c r="C278" s="13" t="s">
        <v>1750</v>
      </c>
      <c r="D278" s="13" t="s">
        <v>1078</v>
      </c>
      <c r="J278" t="s">
        <v>26</v>
      </c>
      <c r="K278" t="s">
        <v>434</v>
      </c>
      <c r="L278" t="s">
        <v>1427</v>
      </c>
      <c r="M278" t="s">
        <v>487</v>
      </c>
    </row>
    <row r="279" spans="1:13" x14ac:dyDescent="0.2">
      <c r="A279" s="15" t="s">
        <v>25</v>
      </c>
      <c r="B279" s="15" t="s">
        <v>1339</v>
      </c>
      <c r="C279" s="13" t="s">
        <v>1751</v>
      </c>
      <c r="D279" s="13" t="s">
        <v>1079</v>
      </c>
      <c r="J279" t="s">
        <v>26</v>
      </c>
      <c r="K279" t="s">
        <v>435</v>
      </c>
      <c r="L279" t="s">
        <v>1428</v>
      </c>
      <c r="M279" t="s">
        <v>492</v>
      </c>
    </row>
    <row r="280" spans="1:13" x14ac:dyDescent="0.2">
      <c r="A280" s="15" t="s">
        <v>25</v>
      </c>
      <c r="B280" s="15" t="s">
        <v>1340</v>
      </c>
      <c r="C280" s="13" t="s">
        <v>1752</v>
      </c>
      <c r="D280" s="13" t="s">
        <v>1080</v>
      </c>
      <c r="J280" t="s">
        <v>26</v>
      </c>
      <c r="K280" t="s">
        <v>436</v>
      </c>
      <c r="L280" t="s">
        <v>1429</v>
      </c>
      <c r="M280" t="s">
        <v>497</v>
      </c>
    </row>
    <row r="281" spans="1:13" x14ac:dyDescent="0.2">
      <c r="A281" s="15" t="s">
        <v>25</v>
      </c>
      <c r="B281" s="15" t="s">
        <v>382</v>
      </c>
      <c r="C281" s="13" t="s">
        <v>2083</v>
      </c>
      <c r="D281" s="13" t="s">
        <v>364</v>
      </c>
      <c r="J281" t="s">
        <v>26</v>
      </c>
      <c r="K281" t="s">
        <v>437</v>
      </c>
      <c r="L281" t="s">
        <v>1430</v>
      </c>
      <c r="M281" t="s">
        <v>502</v>
      </c>
    </row>
    <row r="282" spans="1:13" x14ac:dyDescent="0.2">
      <c r="A282" s="15" t="s">
        <v>25</v>
      </c>
      <c r="B282" s="15" t="s">
        <v>383</v>
      </c>
      <c r="C282" s="13" t="s">
        <v>2053</v>
      </c>
      <c r="D282" s="13" t="s">
        <v>365</v>
      </c>
      <c r="J282" t="s">
        <v>26</v>
      </c>
      <c r="K282" t="s">
        <v>438</v>
      </c>
      <c r="L282" t="s">
        <v>1433</v>
      </c>
      <c r="M282" t="s">
        <v>478</v>
      </c>
    </row>
    <row r="283" spans="1:13" x14ac:dyDescent="0.2">
      <c r="A283" s="15" t="s">
        <v>25</v>
      </c>
      <c r="B283" s="15" t="s">
        <v>384</v>
      </c>
      <c r="C283" s="13" t="s">
        <v>2054</v>
      </c>
      <c r="D283" s="13" t="s">
        <v>366</v>
      </c>
      <c r="J283" t="s">
        <v>26</v>
      </c>
      <c r="K283" t="s">
        <v>439</v>
      </c>
      <c r="L283" t="s">
        <v>1434</v>
      </c>
      <c r="M283" t="s">
        <v>483</v>
      </c>
    </row>
    <row r="284" spans="1:13" x14ac:dyDescent="0.2">
      <c r="A284" s="15" t="s">
        <v>25</v>
      </c>
      <c r="B284" s="15" t="s">
        <v>385</v>
      </c>
      <c r="C284" s="13" t="s">
        <v>1901</v>
      </c>
      <c r="D284" s="13" t="s">
        <v>367</v>
      </c>
      <c r="J284" t="s">
        <v>26</v>
      </c>
      <c r="K284" t="s">
        <v>440</v>
      </c>
      <c r="L284" t="s">
        <v>1435</v>
      </c>
      <c r="M284" t="s">
        <v>488</v>
      </c>
    </row>
    <row r="285" spans="1:13" x14ac:dyDescent="0.2">
      <c r="A285" s="15" t="s">
        <v>25</v>
      </c>
      <c r="B285" s="15" t="s">
        <v>386</v>
      </c>
      <c r="C285" s="13" t="s">
        <v>2055</v>
      </c>
      <c r="D285" s="13" t="s">
        <v>368</v>
      </c>
      <c r="J285" t="s">
        <v>26</v>
      </c>
      <c r="K285" t="s">
        <v>441</v>
      </c>
      <c r="L285" t="s">
        <v>1436</v>
      </c>
      <c r="M285" t="s">
        <v>493</v>
      </c>
    </row>
    <row r="286" spans="1:13" x14ac:dyDescent="0.2">
      <c r="A286" s="15" t="s">
        <v>25</v>
      </c>
      <c r="B286" s="15" t="s">
        <v>387</v>
      </c>
      <c r="C286" s="13" t="s">
        <v>2056</v>
      </c>
      <c r="D286" s="13" t="s">
        <v>369</v>
      </c>
      <c r="J286" t="s">
        <v>26</v>
      </c>
      <c r="K286" t="s">
        <v>442</v>
      </c>
      <c r="L286" t="s">
        <v>1437</v>
      </c>
      <c r="M286" t="s">
        <v>498</v>
      </c>
    </row>
    <row r="287" spans="1:13" x14ac:dyDescent="0.2">
      <c r="A287" s="15" t="s">
        <v>25</v>
      </c>
      <c r="B287" s="15" t="s">
        <v>510</v>
      </c>
      <c r="C287" s="13" t="s">
        <v>1440</v>
      </c>
      <c r="D287" s="13" t="s">
        <v>505</v>
      </c>
      <c r="J287" t="s">
        <v>26</v>
      </c>
      <c r="K287" t="s">
        <v>443</v>
      </c>
      <c r="L287" t="s">
        <v>1438</v>
      </c>
      <c r="M287" t="s">
        <v>503</v>
      </c>
    </row>
    <row r="288" spans="1:13" x14ac:dyDescent="0.2">
      <c r="A288" s="15" t="s">
        <v>25</v>
      </c>
      <c r="B288" s="15" t="s">
        <v>1325</v>
      </c>
      <c r="C288" s="13" t="s">
        <v>1737</v>
      </c>
      <c r="D288" s="13" t="s">
        <v>1059</v>
      </c>
      <c r="J288" t="s">
        <v>25</v>
      </c>
      <c r="K288" t="s">
        <v>509</v>
      </c>
      <c r="L288" t="s">
        <v>1439</v>
      </c>
      <c r="M288" t="s">
        <v>504</v>
      </c>
    </row>
    <row r="289" spans="1:13" x14ac:dyDescent="0.2">
      <c r="A289" s="15" t="s">
        <v>25</v>
      </c>
      <c r="B289" s="15" t="s">
        <v>1323</v>
      </c>
      <c r="C289" s="13" t="s">
        <v>1735</v>
      </c>
      <c r="D289" s="13" t="s">
        <v>1060</v>
      </c>
      <c r="J289" t="s">
        <v>25</v>
      </c>
      <c r="K289" t="s">
        <v>510</v>
      </c>
      <c r="L289" t="s">
        <v>1440</v>
      </c>
      <c r="M289" t="s">
        <v>505</v>
      </c>
    </row>
    <row r="290" spans="1:13" x14ac:dyDescent="0.2">
      <c r="A290" s="15" t="s">
        <v>25</v>
      </c>
      <c r="B290" s="15" t="s">
        <v>1324</v>
      </c>
      <c r="C290" s="13" t="s">
        <v>1736</v>
      </c>
      <c r="D290" s="13" t="s">
        <v>1061</v>
      </c>
      <c r="J290" t="s">
        <v>25</v>
      </c>
      <c r="K290" t="s">
        <v>511</v>
      </c>
      <c r="L290" t="s">
        <v>1441</v>
      </c>
      <c r="M290" t="s">
        <v>506</v>
      </c>
    </row>
    <row r="291" spans="1:13" x14ac:dyDescent="0.2">
      <c r="A291" s="15" t="s">
        <v>25</v>
      </c>
      <c r="B291" s="15" t="s">
        <v>1344</v>
      </c>
      <c r="C291" s="13" t="s">
        <v>1774</v>
      </c>
      <c r="D291" s="13" t="s">
        <v>1102</v>
      </c>
      <c r="J291" t="s">
        <v>25</v>
      </c>
      <c r="K291" t="s">
        <v>512</v>
      </c>
      <c r="L291" t="s">
        <v>1442</v>
      </c>
      <c r="M291" t="s">
        <v>507</v>
      </c>
    </row>
    <row r="292" spans="1:13" x14ac:dyDescent="0.2">
      <c r="A292" s="15" t="s">
        <v>25</v>
      </c>
      <c r="B292" s="15" t="s">
        <v>1345</v>
      </c>
      <c r="C292" s="13" t="s">
        <v>1775</v>
      </c>
      <c r="D292" s="13" t="s">
        <v>1103</v>
      </c>
      <c r="J292" t="s">
        <v>25</v>
      </c>
      <c r="K292" t="s">
        <v>513</v>
      </c>
      <c r="L292" t="s">
        <v>1443</v>
      </c>
      <c r="M292" t="s">
        <v>508</v>
      </c>
    </row>
    <row r="293" spans="1:13" x14ac:dyDescent="0.2">
      <c r="A293" s="15" t="s">
        <v>25</v>
      </c>
      <c r="B293" s="15" t="s">
        <v>1346</v>
      </c>
      <c r="C293" s="13" t="s">
        <v>1776</v>
      </c>
      <c r="D293" s="13" t="s">
        <v>1104</v>
      </c>
      <c r="J293" t="s">
        <v>26</v>
      </c>
      <c r="K293" t="s">
        <v>509</v>
      </c>
      <c r="L293" t="s">
        <v>1448</v>
      </c>
      <c r="M293" t="s">
        <v>504</v>
      </c>
    </row>
    <row r="294" spans="1:13" x14ac:dyDescent="0.2">
      <c r="A294" s="15" t="s">
        <v>25</v>
      </c>
      <c r="B294" s="15" t="s">
        <v>1347</v>
      </c>
      <c r="C294" s="13" t="s">
        <v>1777</v>
      </c>
      <c r="D294" s="13" t="s">
        <v>1105</v>
      </c>
      <c r="J294" t="s">
        <v>26</v>
      </c>
      <c r="K294" t="s">
        <v>510</v>
      </c>
      <c r="L294" t="s">
        <v>1444</v>
      </c>
      <c r="M294" t="s">
        <v>505</v>
      </c>
    </row>
    <row r="295" spans="1:13" x14ac:dyDescent="0.2">
      <c r="A295" s="15" t="s">
        <v>25</v>
      </c>
      <c r="B295" s="15" t="s">
        <v>1348</v>
      </c>
      <c r="C295" s="13" t="s">
        <v>1778</v>
      </c>
      <c r="D295" s="13" t="s">
        <v>1106</v>
      </c>
      <c r="J295" t="s">
        <v>26</v>
      </c>
      <c r="K295" t="s">
        <v>511</v>
      </c>
      <c r="L295" t="s">
        <v>1445</v>
      </c>
      <c r="M295" t="s">
        <v>506</v>
      </c>
    </row>
    <row r="296" spans="1:13" x14ac:dyDescent="0.2">
      <c r="A296" s="15" t="s">
        <v>25</v>
      </c>
      <c r="B296" s="15" t="s">
        <v>1349</v>
      </c>
      <c r="C296" s="13" t="s">
        <v>1779</v>
      </c>
      <c r="D296" s="13" t="s">
        <v>1107</v>
      </c>
      <c r="J296" t="s">
        <v>26</v>
      </c>
      <c r="K296" t="s">
        <v>512</v>
      </c>
      <c r="L296" t="s">
        <v>1446</v>
      </c>
      <c r="M296" t="s">
        <v>507</v>
      </c>
    </row>
    <row r="297" spans="1:13" x14ac:dyDescent="0.2">
      <c r="A297" s="15" t="s">
        <v>25</v>
      </c>
      <c r="B297" s="15" t="s">
        <v>1350</v>
      </c>
      <c r="C297" s="13" t="s">
        <v>1780</v>
      </c>
      <c r="D297" s="13" t="s">
        <v>1108</v>
      </c>
      <c r="J297" t="s">
        <v>26</v>
      </c>
      <c r="K297" t="s">
        <v>513</v>
      </c>
      <c r="L297" t="s">
        <v>1447</v>
      </c>
      <c r="M297" t="s">
        <v>508</v>
      </c>
    </row>
    <row r="298" spans="1:13" x14ac:dyDescent="0.2">
      <c r="A298" s="15" t="s">
        <v>25</v>
      </c>
      <c r="B298" s="15" t="s">
        <v>1351</v>
      </c>
      <c r="C298" s="13" t="s">
        <v>1781</v>
      </c>
      <c r="D298" s="13" t="s">
        <v>1109</v>
      </c>
      <c r="J298" t="s">
        <v>25</v>
      </c>
      <c r="K298" t="s">
        <v>526</v>
      </c>
      <c r="L298" t="s">
        <v>1458</v>
      </c>
      <c r="M298" t="s">
        <v>514</v>
      </c>
    </row>
    <row r="299" spans="1:13" x14ac:dyDescent="0.2">
      <c r="A299" s="15" t="s">
        <v>25</v>
      </c>
      <c r="B299" s="15" t="s">
        <v>1352</v>
      </c>
      <c r="C299" s="13" t="s">
        <v>1782</v>
      </c>
      <c r="D299" s="13" t="s">
        <v>1110</v>
      </c>
      <c r="J299" t="s">
        <v>25</v>
      </c>
      <c r="K299" t="s">
        <v>527</v>
      </c>
      <c r="L299" t="s">
        <v>1453</v>
      </c>
      <c r="M299" t="s">
        <v>515</v>
      </c>
    </row>
    <row r="300" spans="1:13" x14ac:dyDescent="0.2">
      <c r="A300" s="15" t="s">
        <v>25</v>
      </c>
      <c r="B300" s="15" t="s">
        <v>1353</v>
      </c>
      <c r="C300" s="13" t="s">
        <v>1783</v>
      </c>
      <c r="D300" s="13" t="s">
        <v>1111</v>
      </c>
      <c r="J300" t="s">
        <v>25</v>
      </c>
      <c r="K300" t="s">
        <v>528</v>
      </c>
      <c r="L300" t="s">
        <v>1454</v>
      </c>
      <c r="M300" t="s">
        <v>516</v>
      </c>
    </row>
    <row r="301" spans="1:13" x14ac:dyDescent="0.2">
      <c r="A301" s="15" t="s">
        <v>25</v>
      </c>
      <c r="B301" s="15" t="s">
        <v>1354</v>
      </c>
      <c r="C301" s="13" t="s">
        <v>1784</v>
      </c>
      <c r="D301" s="13" t="s">
        <v>1112</v>
      </c>
      <c r="J301" t="s">
        <v>25</v>
      </c>
      <c r="K301" t="s">
        <v>529</v>
      </c>
      <c r="L301" t="s">
        <v>1455</v>
      </c>
      <c r="M301" t="s">
        <v>517</v>
      </c>
    </row>
    <row r="302" spans="1:13" x14ac:dyDescent="0.2">
      <c r="A302" s="15" t="s">
        <v>25</v>
      </c>
      <c r="B302" s="15" t="s">
        <v>1355</v>
      </c>
      <c r="C302" s="13" t="s">
        <v>1785</v>
      </c>
      <c r="D302" s="13" t="s">
        <v>1123</v>
      </c>
      <c r="J302" t="s">
        <v>25</v>
      </c>
      <c r="K302" t="s">
        <v>530</v>
      </c>
      <c r="L302" t="s">
        <v>1456</v>
      </c>
      <c r="M302" t="s">
        <v>518</v>
      </c>
    </row>
    <row r="303" spans="1:13" x14ac:dyDescent="0.2">
      <c r="A303" s="15" t="s">
        <v>25</v>
      </c>
      <c r="B303" s="15" t="s">
        <v>1356</v>
      </c>
      <c r="C303" s="13" t="s">
        <v>1786</v>
      </c>
      <c r="D303" s="13" t="s">
        <v>1124</v>
      </c>
      <c r="J303" t="s">
        <v>25</v>
      </c>
      <c r="K303" t="s">
        <v>531</v>
      </c>
      <c r="L303" t="s">
        <v>1457</v>
      </c>
      <c r="M303" t="s">
        <v>519</v>
      </c>
    </row>
    <row r="304" spans="1:13" x14ac:dyDescent="0.2">
      <c r="A304" s="15" t="s">
        <v>25</v>
      </c>
      <c r="B304" s="15" t="s">
        <v>1357</v>
      </c>
      <c r="C304" s="13" t="s">
        <v>1787</v>
      </c>
      <c r="D304" s="13" t="s">
        <v>1125</v>
      </c>
      <c r="J304" t="s">
        <v>25</v>
      </c>
      <c r="K304" t="s">
        <v>532</v>
      </c>
      <c r="L304" t="s">
        <v>1459</v>
      </c>
      <c r="M304" t="s">
        <v>520</v>
      </c>
    </row>
    <row r="305" spans="1:13" x14ac:dyDescent="0.2">
      <c r="A305" s="15" t="s">
        <v>25</v>
      </c>
      <c r="B305" s="15" t="s">
        <v>1358</v>
      </c>
      <c r="C305" s="13" t="s">
        <v>1788</v>
      </c>
      <c r="D305" s="13" t="s">
        <v>1126</v>
      </c>
      <c r="J305" t="s">
        <v>25</v>
      </c>
      <c r="K305" t="s">
        <v>533</v>
      </c>
      <c r="L305" t="s">
        <v>1460</v>
      </c>
      <c r="M305" t="s">
        <v>521</v>
      </c>
    </row>
    <row r="306" spans="1:13" x14ac:dyDescent="0.2">
      <c r="A306" s="15" t="s">
        <v>25</v>
      </c>
      <c r="B306" s="15" t="s">
        <v>258</v>
      </c>
      <c r="C306" s="13" t="s">
        <v>1991</v>
      </c>
      <c r="D306" s="13" t="s">
        <v>270</v>
      </c>
      <c r="J306" t="s">
        <v>25</v>
      </c>
      <c r="K306" t="s">
        <v>534</v>
      </c>
      <c r="L306" t="s">
        <v>1461</v>
      </c>
      <c r="M306" t="s">
        <v>522</v>
      </c>
    </row>
    <row r="307" spans="1:13" x14ac:dyDescent="0.2">
      <c r="A307" s="15" t="s">
        <v>25</v>
      </c>
      <c r="B307" s="15" t="s">
        <v>259</v>
      </c>
      <c r="C307" s="13" t="s">
        <v>1990</v>
      </c>
      <c r="D307" s="13" t="s">
        <v>271</v>
      </c>
      <c r="J307" t="s">
        <v>25</v>
      </c>
      <c r="K307" t="s">
        <v>535</v>
      </c>
      <c r="L307" t="s">
        <v>1462</v>
      </c>
      <c r="M307" t="s">
        <v>523</v>
      </c>
    </row>
    <row r="308" spans="1:13" x14ac:dyDescent="0.2">
      <c r="A308" s="15" t="s">
        <v>25</v>
      </c>
      <c r="B308" s="15" t="s">
        <v>260</v>
      </c>
      <c r="C308" s="13" t="s">
        <v>416</v>
      </c>
      <c r="D308" s="13" t="s">
        <v>272</v>
      </c>
      <c r="J308" t="s">
        <v>25</v>
      </c>
      <c r="K308" t="s">
        <v>536</v>
      </c>
      <c r="L308" t="s">
        <v>1463</v>
      </c>
      <c r="M308" t="s">
        <v>524</v>
      </c>
    </row>
    <row r="309" spans="1:13" x14ac:dyDescent="0.2">
      <c r="A309" s="15" t="s">
        <v>25</v>
      </c>
      <c r="B309" s="15" t="s">
        <v>261</v>
      </c>
      <c r="C309" s="13" t="s">
        <v>1889</v>
      </c>
      <c r="D309" s="13" t="s">
        <v>273</v>
      </c>
      <c r="J309" t="s">
        <v>25</v>
      </c>
      <c r="K309" t="s">
        <v>537</v>
      </c>
      <c r="L309" t="s">
        <v>1464</v>
      </c>
      <c r="M309" t="s">
        <v>525</v>
      </c>
    </row>
    <row r="310" spans="1:13" x14ac:dyDescent="0.2">
      <c r="A310" s="15" t="s">
        <v>25</v>
      </c>
      <c r="B310" s="15" t="s">
        <v>262</v>
      </c>
      <c r="C310" s="13" t="s">
        <v>422</v>
      </c>
      <c r="D310" s="13" t="s">
        <v>274</v>
      </c>
      <c r="J310" t="s">
        <v>26</v>
      </c>
      <c r="K310" t="s">
        <v>526</v>
      </c>
      <c r="L310" t="s">
        <v>1470</v>
      </c>
      <c r="M310" t="s">
        <v>539</v>
      </c>
    </row>
    <row r="311" spans="1:13" x14ac:dyDescent="0.2">
      <c r="A311" s="15" t="s">
        <v>25</v>
      </c>
      <c r="B311" s="15" t="s">
        <v>263</v>
      </c>
      <c r="C311" s="13" t="s">
        <v>428</v>
      </c>
      <c r="D311" s="13" t="s">
        <v>275</v>
      </c>
      <c r="J311" t="s">
        <v>26</v>
      </c>
      <c r="K311" t="s">
        <v>527</v>
      </c>
      <c r="L311" t="s">
        <v>1465</v>
      </c>
      <c r="M311" t="s">
        <v>540</v>
      </c>
    </row>
    <row r="312" spans="1:13" x14ac:dyDescent="0.2">
      <c r="A312" s="15" t="s">
        <v>25</v>
      </c>
      <c r="B312" s="15" t="s">
        <v>264</v>
      </c>
      <c r="C312" s="13" t="s">
        <v>1992</v>
      </c>
      <c r="D312" s="13" t="s">
        <v>276</v>
      </c>
      <c r="J312" t="s">
        <v>26</v>
      </c>
      <c r="K312" t="s">
        <v>528</v>
      </c>
      <c r="L312" t="s">
        <v>1466</v>
      </c>
      <c r="M312" t="s">
        <v>542</v>
      </c>
    </row>
    <row r="313" spans="1:13" x14ac:dyDescent="0.2">
      <c r="A313" s="15" t="s">
        <v>25</v>
      </c>
      <c r="B313" s="15" t="s">
        <v>265</v>
      </c>
      <c r="C313" s="13" t="s">
        <v>1993</v>
      </c>
      <c r="D313" s="13" t="s">
        <v>277</v>
      </c>
      <c r="J313" t="s">
        <v>26</v>
      </c>
      <c r="K313" t="s">
        <v>529</v>
      </c>
      <c r="L313" t="s">
        <v>1467</v>
      </c>
      <c r="M313" t="s">
        <v>544</v>
      </c>
    </row>
    <row r="314" spans="1:13" x14ac:dyDescent="0.2">
      <c r="A314" s="15" t="s">
        <v>25</v>
      </c>
      <c r="B314" s="15" t="s">
        <v>266</v>
      </c>
      <c r="C314" s="13" t="s">
        <v>417</v>
      </c>
      <c r="D314" s="13" t="s">
        <v>278</v>
      </c>
      <c r="J314" t="s">
        <v>26</v>
      </c>
      <c r="K314" t="s">
        <v>530</v>
      </c>
      <c r="L314" t="s">
        <v>1468</v>
      </c>
      <c r="M314" t="s">
        <v>546</v>
      </c>
    </row>
    <row r="315" spans="1:13" x14ac:dyDescent="0.2">
      <c r="A315" s="15" t="s">
        <v>25</v>
      </c>
      <c r="B315" s="15" t="s">
        <v>267</v>
      </c>
      <c r="C315" s="13" t="s">
        <v>1890</v>
      </c>
      <c r="D315" s="13" t="s">
        <v>279</v>
      </c>
      <c r="J315" t="s">
        <v>26</v>
      </c>
      <c r="K315" t="s">
        <v>531</v>
      </c>
      <c r="L315" t="s">
        <v>1469</v>
      </c>
      <c r="M315" t="s">
        <v>548</v>
      </c>
    </row>
    <row r="316" spans="1:13" x14ac:dyDescent="0.2">
      <c r="A316" s="15" t="s">
        <v>25</v>
      </c>
      <c r="B316" s="15" t="s">
        <v>268</v>
      </c>
      <c r="C316" s="13" t="s">
        <v>423</v>
      </c>
      <c r="D316" s="13" t="s">
        <v>280</v>
      </c>
      <c r="J316" t="s">
        <v>26</v>
      </c>
      <c r="K316" t="s">
        <v>532</v>
      </c>
      <c r="L316" t="s">
        <v>1471</v>
      </c>
      <c r="M316" t="s">
        <v>538</v>
      </c>
    </row>
    <row r="317" spans="1:13" x14ac:dyDescent="0.2">
      <c r="A317" s="15" t="s">
        <v>25</v>
      </c>
      <c r="B317" s="15" t="s">
        <v>1343</v>
      </c>
      <c r="C317" s="13" t="s">
        <v>1773</v>
      </c>
      <c r="D317" s="13" t="s">
        <v>1099</v>
      </c>
      <c r="J317" t="s">
        <v>26</v>
      </c>
      <c r="K317" t="s">
        <v>533</v>
      </c>
      <c r="L317" t="s">
        <v>1472</v>
      </c>
      <c r="M317" t="s">
        <v>541</v>
      </c>
    </row>
    <row r="318" spans="1:13" x14ac:dyDescent="0.2">
      <c r="A318" s="15" t="s">
        <v>25</v>
      </c>
      <c r="B318" s="15" t="s">
        <v>269</v>
      </c>
      <c r="C318" s="13" t="s">
        <v>429</v>
      </c>
      <c r="D318" s="13" t="s">
        <v>281</v>
      </c>
      <c r="J318" t="s">
        <v>26</v>
      </c>
      <c r="K318" t="s">
        <v>534</v>
      </c>
      <c r="L318" t="s">
        <v>1473</v>
      </c>
      <c r="M318" t="s">
        <v>543</v>
      </c>
    </row>
    <row r="319" spans="1:13" x14ac:dyDescent="0.2">
      <c r="A319" s="15" t="s">
        <v>25</v>
      </c>
      <c r="B319" s="15" t="s">
        <v>511</v>
      </c>
      <c r="C319" s="13" t="s">
        <v>1441</v>
      </c>
      <c r="D319" s="13" t="s">
        <v>506</v>
      </c>
      <c r="J319" t="s">
        <v>26</v>
      </c>
      <c r="K319" t="s">
        <v>535</v>
      </c>
      <c r="L319" t="s">
        <v>1474</v>
      </c>
      <c r="M319" t="s">
        <v>545</v>
      </c>
    </row>
    <row r="320" spans="1:13" x14ac:dyDescent="0.2">
      <c r="A320" s="15" t="s">
        <v>25</v>
      </c>
      <c r="B320" s="15" t="s">
        <v>1341</v>
      </c>
      <c r="C320" s="13" t="s">
        <v>1771</v>
      </c>
      <c r="D320" s="13" t="s">
        <v>1100</v>
      </c>
      <c r="J320" t="s">
        <v>26</v>
      </c>
      <c r="K320" t="s">
        <v>536</v>
      </c>
      <c r="L320" t="s">
        <v>1475</v>
      </c>
      <c r="M320" t="s">
        <v>547</v>
      </c>
    </row>
    <row r="321" spans="1:13" x14ac:dyDescent="0.2">
      <c r="A321" s="15" t="s">
        <v>25</v>
      </c>
      <c r="B321" s="15" t="s">
        <v>1342</v>
      </c>
      <c r="C321" s="13" t="s">
        <v>1772</v>
      </c>
      <c r="D321" s="13" t="s">
        <v>1101</v>
      </c>
      <c r="J321" t="s">
        <v>26</v>
      </c>
      <c r="K321" t="s">
        <v>537</v>
      </c>
      <c r="L321" t="s">
        <v>1476</v>
      </c>
      <c r="M321" t="s">
        <v>549</v>
      </c>
    </row>
    <row r="322" spans="1:13" x14ac:dyDescent="0.2">
      <c r="A322" s="15" t="s">
        <v>25</v>
      </c>
      <c r="B322" s="15" t="s">
        <v>1362</v>
      </c>
      <c r="C322" s="13" t="s">
        <v>1811</v>
      </c>
      <c r="D322" s="13" t="s">
        <v>1148</v>
      </c>
      <c r="J322" t="s">
        <v>25</v>
      </c>
      <c r="K322" t="s">
        <v>581</v>
      </c>
      <c r="L322" t="s">
        <v>1492</v>
      </c>
      <c r="M322" t="s">
        <v>550</v>
      </c>
    </row>
    <row r="323" spans="1:13" x14ac:dyDescent="0.2">
      <c r="A323" s="15" t="s">
        <v>25</v>
      </c>
      <c r="B323" s="15" t="s">
        <v>1363</v>
      </c>
      <c r="C323" s="13" t="s">
        <v>1812</v>
      </c>
      <c r="D323" s="13" t="s">
        <v>1149</v>
      </c>
      <c r="J323" t="s">
        <v>25</v>
      </c>
      <c r="K323" t="s">
        <v>582</v>
      </c>
      <c r="L323" t="s">
        <v>1482</v>
      </c>
      <c r="M323" t="s">
        <v>551</v>
      </c>
    </row>
    <row r="324" spans="1:13" x14ac:dyDescent="0.2">
      <c r="A324" s="15" t="s">
        <v>25</v>
      </c>
      <c r="B324" s="15" t="s">
        <v>1364</v>
      </c>
      <c r="C324" s="13" t="s">
        <v>1813</v>
      </c>
      <c r="D324" s="13" t="s">
        <v>1150</v>
      </c>
      <c r="J324" t="s">
        <v>25</v>
      </c>
      <c r="K324" t="s">
        <v>583</v>
      </c>
      <c r="L324" t="s">
        <v>1490</v>
      </c>
      <c r="M324" t="s">
        <v>552</v>
      </c>
    </row>
    <row r="325" spans="1:13" x14ac:dyDescent="0.2">
      <c r="A325" s="15" t="s">
        <v>25</v>
      </c>
      <c r="B325" s="15" t="s">
        <v>1365</v>
      </c>
      <c r="C325" s="13" t="s">
        <v>1814</v>
      </c>
      <c r="D325" s="13" t="s">
        <v>1151</v>
      </c>
      <c r="J325" t="s">
        <v>25</v>
      </c>
      <c r="K325" t="s">
        <v>584</v>
      </c>
      <c r="L325" t="s">
        <v>1483</v>
      </c>
      <c r="M325" t="s">
        <v>553</v>
      </c>
    </row>
    <row r="326" spans="1:13" x14ac:dyDescent="0.2">
      <c r="A326" s="15" t="s">
        <v>25</v>
      </c>
      <c r="B326" s="15" t="s">
        <v>1366</v>
      </c>
      <c r="C326" s="13" t="s">
        <v>1815</v>
      </c>
      <c r="D326" s="13" t="s">
        <v>1152</v>
      </c>
      <c r="J326" t="s">
        <v>25</v>
      </c>
      <c r="K326" t="s">
        <v>585</v>
      </c>
      <c r="L326" t="s">
        <v>1491</v>
      </c>
      <c r="M326" t="s">
        <v>554</v>
      </c>
    </row>
    <row r="327" spans="1:13" x14ac:dyDescent="0.2">
      <c r="A327" s="15" t="s">
        <v>25</v>
      </c>
      <c r="B327" s="15" t="s">
        <v>1367</v>
      </c>
      <c r="C327" s="13" t="s">
        <v>1816</v>
      </c>
      <c r="D327" s="13" t="s">
        <v>1153</v>
      </c>
      <c r="J327" t="s">
        <v>25</v>
      </c>
      <c r="K327" t="s">
        <v>586</v>
      </c>
      <c r="L327" t="s">
        <v>1484</v>
      </c>
      <c r="M327" t="s">
        <v>555</v>
      </c>
    </row>
    <row r="328" spans="1:13" x14ac:dyDescent="0.2">
      <c r="A328" s="15" t="s">
        <v>25</v>
      </c>
      <c r="B328" s="15" t="s">
        <v>1368</v>
      </c>
      <c r="C328" s="13" t="s">
        <v>1817</v>
      </c>
      <c r="D328" s="13" t="s">
        <v>1154</v>
      </c>
      <c r="J328" t="s">
        <v>25</v>
      </c>
      <c r="K328" t="s">
        <v>587</v>
      </c>
      <c r="L328" t="s">
        <v>1495</v>
      </c>
      <c r="M328" t="s">
        <v>556</v>
      </c>
    </row>
    <row r="329" spans="1:13" x14ac:dyDescent="0.2">
      <c r="A329" s="15" t="s">
        <v>25</v>
      </c>
      <c r="B329" s="15" t="s">
        <v>1369</v>
      </c>
      <c r="C329" s="13" t="s">
        <v>1818</v>
      </c>
      <c r="D329" s="13" t="s">
        <v>1155</v>
      </c>
      <c r="J329" t="s">
        <v>25</v>
      </c>
      <c r="K329" t="s">
        <v>588</v>
      </c>
      <c r="L329" t="s">
        <v>1489</v>
      </c>
      <c r="M329" t="s">
        <v>557</v>
      </c>
    </row>
    <row r="330" spans="1:13" x14ac:dyDescent="0.2">
      <c r="A330" s="15" t="s">
        <v>25</v>
      </c>
      <c r="B330" s="15" t="s">
        <v>1370</v>
      </c>
      <c r="C330" s="13" t="s">
        <v>1819</v>
      </c>
      <c r="D330" s="13" t="s">
        <v>1156</v>
      </c>
      <c r="J330" t="s">
        <v>25</v>
      </c>
      <c r="K330" t="s">
        <v>589</v>
      </c>
      <c r="L330" t="s">
        <v>1493</v>
      </c>
      <c r="M330" t="s">
        <v>558</v>
      </c>
    </row>
    <row r="331" spans="1:13" x14ac:dyDescent="0.2">
      <c r="A331" s="15" t="s">
        <v>25</v>
      </c>
      <c r="B331" s="15" t="s">
        <v>1371</v>
      </c>
      <c r="C331" s="13" t="s">
        <v>1820</v>
      </c>
      <c r="D331" s="13" t="s">
        <v>1157</v>
      </c>
      <c r="J331" t="s">
        <v>25</v>
      </c>
      <c r="K331" t="s">
        <v>590</v>
      </c>
      <c r="L331" t="s">
        <v>1487</v>
      </c>
      <c r="M331" t="s">
        <v>559</v>
      </c>
    </row>
    <row r="332" spans="1:13" x14ac:dyDescent="0.2">
      <c r="A332" s="15" t="s">
        <v>25</v>
      </c>
      <c r="B332" s="15" t="s">
        <v>1372</v>
      </c>
      <c r="C332" s="13" t="s">
        <v>1821</v>
      </c>
      <c r="D332" s="13" t="s">
        <v>1158</v>
      </c>
      <c r="J332" t="s">
        <v>25</v>
      </c>
      <c r="K332" t="s">
        <v>591</v>
      </c>
      <c r="L332" t="s">
        <v>1494</v>
      </c>
      <c r="M332" t="s">
        <v>560</v>
      </c>
    </row>
    <row r="333" spans="1:13" x14ac:dyDescent="0.2">
      <c r="A333" s="15" t="s">
        <v>25</v>
      </c>
      <c r="B333" s="15" t="s">
        <v>1373</v>
      </c>
      <c r="C333" s="13" t="s">
        <v>1822</v>
      </c>
      <c r="D333" s="13" t="s">
        <v>1159</v>
      </c>
      <c r="J333" t="s">
        <v>25</v>
      </c>
      <c r="K333" t="s">
        <v>592</v>
      </c>
      <c r="L333" t="s">
        <v>1488</v>
      </c>
      <c r="M333" t="s">
        <v>561</v>
      </c>
    </row>
    <row r="334" spans="1:13" x14ac:dyDescent="0.2">
      <c r="A334" s="15" t="s">
        <v>25</v>
      </c>
      <c r="B334" s="15" t="s">
        <v>1374</v>
      </c>
      <c r="C334" s="13" t="s">
        <v>1823</v>
      </c>
      <c r="D334" s="13" t="s">
        <v>1160</v>
      </c>
      <c r="J334" t="s">
        <v>25</v>
      </c>
      <c r="K334" t="s">
        <v>593</v>
      </c>
      <c r="L334" t="s">
        <v>1501</v>
      </c>
      <c r="M334" t="s">
        <v>562</v>
      </c>
    </row>
    <row r="335" spans="1:13" x14ac:dyDescent="0.2">
      <c r="A335" s="15" t="s">
        <v>25</v>
      </c>
      <c r="B335" s="15" t="s">
        <v>1375</v>
      </c>
      <c r="C335" s="13" t="s">
        <v>1824</v>
      </c>
      <c r="D335" s="13" t="s">
        <v>1161</v>
      </c>
      <c r="J335" t="s">
        <v>25</v>
      </c>
      <c r="K335" t="s">
        <v>594</v>
      </c>
      <c r="L335" t="s">
        <v>1496</v>
      </c>
      <c r="M335" t="s">
        <v>563</v>
      </c>
    </row>
    <row r="336" spans="1:13" x14ac:dyDescent="0.2">
      <c r="A336" s="15" t="s">
        <v>25</v>
      </c>
      <c r="B336" s="15" t="s">
        <v>1376</v>
      </c>
      <c r="C336" s="13" t="s">
        <v>1825</v>
      </c>
      <c r="D336" s="13" t="s">
        <v>1162</v>
      </c>
      <c r="J336" t="s">
        <v>25</v>
      </c>
      <c r="K336" t="s">
        <v>595</v>
      </c>
      <c r="L336" t="s">
        <v>1497</v>
      </c>
      <c r="M336" t="s">
        <v>564</v>
      </c>
    </row>
    <row r="337" spans="1:13" x14ac:dyDescent="0.2">
      <c r="A337" s="15" t="s">
        <v>25</v>
      </c>
      <c r="B337" s="15" t="s">
        <v>1361</v>
      </c>
      <c r="C337" s="13" t="s">
        <v>1810</v>
      </c>
      <c r="D337" s="13" t="s">
        <v>1145</v>
      </c>
      <c r="J337" t="s">
        <v>25</v>
      </c>
      <c r="K337" t="s">
        <v>596</v>
      </c>
      <c r="L337" t="s">
        <v>1498</v>
      </c>
      <c r="M337" t="s">
        <v>565</v>
      </c>
    </row>
    <row r="338" spans="1:13" x14ac:dyDescent="0.2">
      <c r="A338" s="15" t="s">
        <v>25</v>
      </c>
      <c r="B338" s="15" t="s">
        <v>1359</v>
      </c>
      <c r="C338" s="13" t="s">
        <v>1808</v>
      </c>
      <c r="D338" s="13" t="s">
        <v>1146</v>
      </c>
      <c r="J338" t="s">
        <v>25</v>
      </c>
      <c r="K338" t="s">
        <v>597</v>
      </c>
      <c r="L338" t="s">
        <v>1499</v>
      </c>
      <c r="M338" t="s">
        <v>566</v>
      </c>
    </row>
    <row r="339" spans="1:13" x14ac:dyDescent="0.2">
      <c r="A339" s="15" t="s">
        <v>25</v>
      </c>
      <c r="B339" s="15" t="s">
        <v>1360</v>
      </c>
      <c r="C339" s="13" t="s">
        <v>1809</v>
      </c>
      <c r="D339" s="13" t="s">
        <v>1147</v>
      </c>
      <c r="J339" t="s">
        <v>25</v>
      </c>
      <c r="K339" t="s">
        <v>598</v>
      </c>
      <c r="L339" t="s">
        <v>1500</v>
      </c>
      <c r="M339" t="s">
        <v>567</v>
      </c>
    </row>
    <row r="340" spans="1:13" x14ac:dyDescent="0.2">
      <c r="A340" s="15" t="s">
        <v>26</v>
      </c>
      <c r="B340" s="15" t="s">
        <v>388</v>
      </c>
      <c r="C340" s="13" t="s">
        <v>2081</v>
      </c>
      <c r="D340" s="13" t="s">
        <v>394</v>
      </c>
      <c r="J340" t="s">
        <v>25</v>
      </c>
      <c r="K340" t="s">
        <v>599</v>
      </c>
      <c r="L340" t="s">
        <v>1507</v>
      </c>
      <c r="M340" t="s">
        <v>568</v>
      </c>
    </row>
    <row r="341" spans="1:13" x14ac:dyDescent="0.2">
      <c r="A341" s="15" t="s">
        <v>26</v>
      </c>
      <c r="B341" s="15" t="s">
        <v>389</v>
      </c>
      <c r="C341" s="13" t="s">
        <v>2069</v>
      </c>
      <c r="D341" s="13" t="s">
        <v>398</v>
      </c>
      <c r="J341" t="s">
        <v>25</v>
      </c>
      <c r="K341" t="s">
        <v>600</v>
      </c>
      <c r="L341" t="s">
        <v>1502</v>
      </c>
      <c r="M341" t="s">
        <v>569</v>
      </c>
    </row>
    <row r="342" spans="1:13" x14ac:dyDescent="0.2">
      <c r="A342" s="15" t="s">
        <v>26</v>
      </c>
      <c r="B342" s="15" t="s">
        <v>390</v>
      </c>
      <c r="C342" s="13" t="s">
        <v>2070</v>
      </c>
      <c r="D342" s="13" t="s">
        <v>401</v>
      </c>
      <c r="J342" t="s">
        <v>25</v>
      </c>
      <c r="K342" t="s">
        <v>601</v>
      </c>
      <c r="L342" t="s">
        <v>1503</v>
      </c>
      <c r="M342" t="s">
        <v>570</v>
      </c>
    </row>
    <row r="343" spans="1:13" x14ac:dyDescent="0.2">
      <c r="A343" s="15" t="s">
        <v>26</v>
      </c>
      <c r="B343" s="15" t="s">
        <v>391</v>
      </c>
      <c r="C343" s="13" t="s">
        <v>1905</v>
      </c>
      <c r="D343" s="13" t="s">
        <v>404</v>
      </c>
      <c r="J343" t="s">
        <v>25</v>
      </c>
      <c r="K343" t="s">
        <v>602</v>
      </c>
      <c r="L343" t="s">
        <v>1504</v>
      </c>
      <c r="M343" t="s">
        <v>571</v>
      </c>
    </row>
    <row r="344" spans="1:13" x14ac:dyDescent="0.2">
      <c r="A344" s="15" t="s">
        <v>26</v>
      </c>
      <c r="B344" s="15" t="s">
        <v>392</v>
      </c>
      <c r="C344" s="13" t="s">
        <v>2071</v>
      </c>
      <c r="D344" s="13" t="s">
        <v>407</v>
      </c>
      <c r="J344" t="s">
        <v>25</v>
      </c>
      <c r="K344" t="s">
        <v>603</v>
      </c>
      <c r="L344" t="s">
        <v>1505</v>
      </c>
      <c r="M344" t="s">
        <v>572</v>
      </c>
    </row>
    <row r="345" spans="1:13" x14ac:dyDescent="0.2">
      <c r="A345" s="15" t="s">
        <v>26</v>
      </c>
      <c r="B345" s="15" t="s">
        <v>393</v>
      </c>
      <c r="C345" s="13" t="s">
        <v>2072</v>
      </c>
      <c r="D345" s="13" t="s">
        <v>410</v>
      </c>
      <c r="J345" t="s">
        <v>25</v>
      </c>
      <c r="K345" t="s">
        <v>604</v>
      </c>
      <c r="L345" t="s">
        <v>1506</v>
      </c>
      <c r="M345" t="s">
        <v>573</v>
      </c>
    </row>
    <row r="346" spans="1:13" x14ac:dyDescent="0.2">
      <c r="A346" s="13" t="s">
        <v>26</v>
      </c>
      <c r="B346" s="13" t="s">
        <v>45</v>
      </c>
      <c r="C346" s="13" t="s">
        <v>1974</v>
      </c>
      <c r="D346" s="13" t="s">
        <v>97</v>
      </c>
      <c r="J346" t="s">
        <v>25</v>
      </c>
      <c r="K346" t="s">
        <v>605</v>
      </c>
      <c r="L346" t="s">
        <v>1513</v>
      </c>
      <c r="M346" t="s">
        <v>575</v>
      </c>
    </row>
    <row r="347" spans="1:13" x14ac:dyDescent="0.2">
      <c r="A347" s="13" t="s">
        <v>26</v>
      </c>
      <c r="B347" s="13" t="s">
        <v>240</v>
      </c>
      <c r="C347" s="13" t="s">
        <v>1982</v>
      </c>
      <c r="D347" s="13" t="s">
        <v>227</v>
      </c>
      <c r="J347" t="s">
        <v>25</v>
      </c>
      <c r="K347" t="s">
        <v>606</v>
      </c>
      <c r="L347" t="s">
        <v>1508</v>
      </c>
      <c r="M347" t="s">
        <v>576</v>
      </c>
    </row>
    <row r="348" spans="1:13" x14ac:dyDescent="0.2">
      <c r="A348" s="13" t="s">
        <v>26</v>
      </c>
      <c r="B348" s="13" t="s">
        <v>241</v>
      </c>
      <c r="C348" s="13" t="s">
        <v>1978</v>
      </c>
      <c r="D348" s="13" t="s">
        <v>148</v>
      </c>
      <c r="J348" t="s">
        <v>25</v>
      </c>
      <c r="K348" t="s">
        <v>607</v>
      </c>
      <c r="L348" t="s">
        <v>1509</v>
      </c>
      <c r="M348" t="s">
        <v>577</v>
      </c>
    </row>
    <row r="349" spans="1:13" x14ac:dyDescent="0.2">
      <c r="A349" s="15" t="s">
        <v>26</v>
      </c>
      <c r="B349" s="15" t="s">
        <v>242</v>
      </c>
      <c r="C349" s="13" t="s">
        <v>1979</v>
      </c>
      <c r="D349" s="13" t="s">
        <v>149</v>
      </c>
      <c r="J349" t="s">
        <v>25</v>
      </c>
      <c r="K349" t="s">
        <v>608</v>
      </c>
      <c r="L349" t="s">
        <v>1510</v>
      </c>
      <c r="M349" t="s">
        <v>578</v>
      </c>
    </row>
    <row r="350" spans="1:13" x14ac:dyDescent="0.2">
      <c r="A350" s="13" t="s">
        <v>26</v>
      </c>
      <c r="B350" s="13" t="s">
        <v>243</v>
      </c>
      <c r="C350" s="13" t="s">
        <v>1887</v>
      </c>
      <c r="D350" s="13" t="s">
        <v>218</v>
      </c>
      <c r="J350" t="s">
        <v>25</v>
      </c>
      <c r="K350" t="s">
        <v>609</v>
      </c>
      <c r="L350" t="s">
        <v>1511</v>
      </c>
      <c r="M350" t="s">
        <v>579</v>
      </c>
    </row>
    <row r="351" spans="1:13" x14ac:dyDescent="0.2">
      <c r="A351" s="13" t="s">
        <v>26</v>
      </c>
      <c r="B351" s="13" t="s">
        <v>244</v>
      </c>
      <c r="C351" s="13" t="s">
        <v>1980</v>
      </c>
      <c r="D351" s="13" t="s">
        <v>219</v>
      </c>
      <c r="J351" t="s">
        <v>25</v>
      </c>
      <c r="K351" t="s">
        <v>610</v>
      </c>
      <c r="L351" t="s">
        <v>1512</v>
      </c>
      <c r="M351" t="s">
        <v>580</v>
      </c>
    </row>
    <row r="352" spans="1:13" x14ac:dyDescent="0.2">
      <c r="A352" s="13" t="s">
        <v>26</v>
      </c>
      <c r="B352" s="13" t="s">
        <v>245</v>
      </c>
      <c r="C352" s="13" t="s">
        <v>1981</v>
      </c>
      <c r="D352" s="13" t="s">
        <v>220</v>
      </c>
      <c r="J352" t="s">
        <v>26</v>
      </c>
      <c r="K352" t="s">
        <v>581</v>
      </c>
      <c r="L352" t="s">
        <v>1519</v>
      </c>
      <c r="M352" t="s">
        <v>611</v>
      </c>
    </row>
    <row r="353" spans="1:13" x14ac:dyDescent="0.2">
      <c r="A353" s="13" t="s">
        <v>26</v>
      </c>
      <c r="B353" s="13" t="s">
        <v>40</v>
      </c>
      <c r="C353" s="13" t="s">
        <v>103</v>
      </c>
      <c r="D353" s="13" t="s">
        <v>76</v>
      </c>
      <c r="J353" t="s">
        <v>26</v>
      </c>
      <c r="K353" t="s">
        <v>582</v>
      </c>
      <c r="L353" t="s">
        <v>1514</v>
      </c>
      <c r="M353" t="s">
        <v>616</v>
      </c>
    </row>
    <row r="354" spans="1:13" x14ac:dyDescent="0.2">
      <c r="A354" s="15" t="s">
        <v>26</v>
      </c>
      <c r="B354" s="15" t="s">
        <v>412</v>
      </c>
      <c r="C354" s="13" t="s">
        <v>2077</v>
      </c>
      <c r="D354" s="13" t="s">
        <v>413</v>
      </c>
      <c r="J354" t="s">
        <v>26</v>
      </c>
      <c r="K354" t="s">
        <v>583</v>
      </c>
      <c r="L354" t="s">
        <v>1515</v>
      </c>
      <c r="M354" t="s">
        <v>621</v>
      </c>
    </row>
    <row r="355" spans="1:13" x14ac:dyDescent="0.2">
      <c r="A355" s="13" t="s">
        <v>26</v>
      </c>
      <c r="B355" s="13" t="s">
        <v>41</v>
      </c>
      <c r="C355" s="13" t="s">
        <v>1973</v>
      </c>
      <c r="D355" s="13" t="s">
        <v>81</v>
      </c>
      <c r="J355" t="s">
        <v>26</v>
      </c>
      <c r="K355" t="s">
        <v>584</v>
      </c>
      <c r="L355" t="s">
        <v>1516</v>
      </c>
      <c r="M355" t="s">
        <v>626</v>
      </c>
    </row>
    <row r="356" spans="1:13" x14ac:dyDescent="0.2">
      <c r="A356" s="13" t="s">
        <v>26</v>
      </c>
      <c r="B356" s="13" t="s">
        <v>42</v>
      </c>
      <c r="C356" s="13" t="s">
        <v>596</v>
      </c>
      <c r="D356" s="13" t="s">
        <v>85</v>
      </c>
      <c r="J356" t="s">
        <v>26</v>
      </c>
      <c r="K356" t="s">
        <v>585</v>
      </c>
      <c r="L356" t="s">
        <v>1517</v>
      </c>
      <c r="M356" t="s">
        <v>631</v>
      </c>
    </row>
    <row r="357" spans="1:13" x14ac:dyDescent="0.2">
      <c r="A357" s="13" t="s">
        <v>26</v>
      </c>
      <c r="B357" s="13" t="s">
        <v>43</v>
      </c>
      <c r="C357" s="13" t="s">
        <v>1881</v>
      </c>
      <c r="D357" s="13" t="s">
        <v>89</v>
      </c>
      <c r="J357" t="s">
        <v>26</v>
      </c>
      <c r="K357" t="s">
        <v>586</v>
      </c>
      <c r="L357" t="s">
        <v>1518</v>
      </c>
      <c r="M357" t="s">
        <v>636</v>
      </c>
    </row>
    <row r="358" spans="1:13" x14ac:dyDescent="0.2">
      <c r="A358" s="15" t="s">
        <v>26</v>
      </c>
      <c r="B358" s="15" t="s">
        <v>44</v>
      </c>
      <c r="C358" s="13" t="s">
        <v>115</v>
      </c>
      <c r="D358" s="13" t="s">
        <v>93</v>
      </c>
      <c r="J358" t="s">
        <v>26</v>
      </c>
      <c r="K358" t="s">
        <v>587</v>
      </c>
      <c r="L358" t="s">
        <v>1520</v>
      </c>
      <c r="M358" t="s">
        <v>612</v>
      </c>
    </row>
    <row r="359" spans="1:13" x14ac:dyDescent="0.2">
      <c r="A359" s="13" t="s">
        <v>26</v>
      </c>
      <c r="B359" s="13" t="s">
        <v>33</v>
      </c>
      <c r="C359" s="13" t="s">
        <v>1928</v>
      </c>
      <c r="D359" s="13" t="s">
        <v>96</v>
      </c>
      <c r="J359" t="s">
        <v>26</v>
      </c>
      <c r="K359" t="s">
        <v>588</v>
      </c>
      <c r="L359" t="s">
        <v>1521</v>
      </c>
      <c r="M359" t="s">
        <v>617</v>
      </c>
    </row>
    <row r="360" spans="1:13" x14ac:dyDescent="0.2">
      <c r="A360" s="13" t="s">
        <v>26</v>
      </c>
      <c r="B360" s="13" t="s">
        <v>100</v>
      </c>
      <c r="C360" s="13" t="s">
        <v>104</v>
      </c>
      <c r="D360" s="13" t="s">
        <v>124</v>
      </c>
      <c r="J360" t="s">
        <v>26</v>
      </c>
      <c r="K360" t="s">
        <v>589</v>
      </c>
      <c r="L360" t="s">
        <v>1522</v>
      </c>
      <c r="M360" t="s">
        <v>622</v>
      </c>
    </row>
    <row r="361" spans="1:13" x14ac:dyDescent="0.2">
      <c r="A361" s="13" t="s">
        <v>26</v>
      </c>
      <c r="B361" s="13" t="s">
        <v>101</v>
      </c>
      <c r="C361" s="13" t="s">
        <v>1925</v>
      </c>
      <c r="D361" s="13" t="s">
        <v>125</v>
      </c>
      <c r="J361" t="s">
        <v>26</v>
      </c>
      <c r="K361" t="s">
        <v>590</v>
      </c>
      <c r="L361" t="s">
        <v>1523</v>
      </c>
      <c r="M361" t="s">
        <v>627</v>
      </c>
    </row>
    <row r="362" spans="1:13" x14ac:dyDescent="0.2">
      <c r="A362" s="15" t="s">
        <v>26</v>
      </c>
      <c r="B362" s="15" t="s">
        <v>102</v>
      </c>
      <c r="C362" s="13" t="s">
        <v>597</v>
      </c>
      <c r="D362" s="13" t="s">
        <v>126</v>
      </c>
      <c r="J362" t="s">
        <v>26</v>
      </c>
      <c r="K362" t="s">
        <v>591</v>
      </c>
      <c r="L362" t="s">
        <v>1524</v>
      </c>
      <c r="M362" t="s">
        <v>632</v>
      </c>
    </row>
    <row r="363" spans="1:13" x14ac:dyDescent="0.2">
      <c r="A363" s="13" t="s">
        <v>26</v>
      </c>
      <c r="B363" s="13" t="s">
        <v>103</v>
      </c>
      <c r="C363" s="13" t="s">
        <v>1882</v>
      </c>
      <c r="D363" s="13" t="s">
        <v>127</v>
      </c>
      <c r="J363" t="s">
        <v>26</v>
      </c>
      <c r="K363" t="s">
        <v>592</v>
      </c>
      <c r="L363" t="s">
        <v>1525</v>
      </c>
      <c r="M363" t="s">
        <v>637</v>
      </c>
    </row>
    <row r="364" spans="1:13" x14ac:dyDescent="0.2">
      <c r="A364" s="13" t="s">
        <v>26</v>
      </c>
      <c r="B364" s="13" t="s">
        <v>104</v>
      </c>
      <c r="C364" s="13" t="s">
        <v>116</v>
      </c>
      <c r="D364" s="13" t="s">
        <v>128</v>
      </c>
      <c r="J364" t="s">
        <v>26</v>
      </c>
      <c r="K364" t="s">
        <v>593</v>
      </c>
      <c r="L364" t="s">
        <v>1526</v>
      </c>
      <c r="M364" t="s">
        <v>613</v>
      </c>
    </row>
    <row r="365" spans="1:13" x14ac:dyDescent="0.2">
      <c r="A365" s="13" t="s">
        <v>26</v>
      </c>
      <c r="B365" s="13" t="s">
        <v>105</v>
      </c>
      <c r="C365" s="13" t="s">
        <v>1926</v>
      </c>
      <c r="D365" s="13" t="s">
        <v>129</v>
      </c>
      <c r="J365" t="s">
        <v>26</v>
      </c>
      <c r="K365" t="s">
        <v>594</v>
      </c>
      <c r="L365" t="s">
        <v>1527</v>
      </c>
      <c r="M365" t="s">
        <v>618</v>
      </c>
    </row>
    <row r="366" spans="1:13" x14ac:dyDescent="0.2">
      <c r="A366" s="13" t="s">
        <v>26</v>
      </c>
      <c r="B366" s="13" t="s">
        <v>28</v>
      </c>
      <c r="C366" s="13" t="s">
        <v>102</v>
      </c>
      <c r="D366" s="13" t="s">
        <v>79</v>
      </c>
      <c r="J366" t="s">
        <v>26</v>
      </c>
      <c r="K366" t="s">
        <v>595</v>
      </c>
      <c r="L366" t="s">
        <v>1528</v>
      </c>
      <c r="M366" t="s">
        <v>623</v>
      </c>
    </row>
    <row r="367" spans="1:13" x14ac:dyDescent="0.2">
      <c r="A367" s="13" t="s">
        <v>26</v>
      </c>
      <c r="B367" s="13" t="s">
        <v>29</v>
      </c>
      <c r="C367" s="13" t="s">
        <v>1927</v>
      </c>
      <c r="D367" s="13" t="s">
        <v>80</v>
      </c>
      <c r="J367" t="s">
        <v>26</v>
      </c>
      <c r="K367" t="s">
        <v>596</v>
      </c>
      <c r="L367" t="s">
        <v>1529</v>
      </c>
      <c r="M367" t="s">
        <v>628</v>
      </c>
    </row>
    <row r="368" spans="1:13" x14ac:dyDescent="0.2">
      <c r="A368" s="13" t="s">
        <v>26</v>
      </c>
      <c r="B368" s="13" t="s">
        <v>30</v>
      </c>
      <c r="C368" s="13" t="s">
        <v>595</v>
      </c>
      <c r="D368" s="13" t="s">
        <v>84</v>
      </c>
      <c r="J368" t="s">
        <v>26</v>
      </c>
      <c r="K368" t="s">
        <v>597</v>
      </c>
      <c r="L368" t="s">
        <v>1530</v>
      </c>
      <c r="M368" t="s">
        <v>633</v>
      </c>
    </row>
    <row r="369" spans="1:13" x14ac:dyDescent="0.2">
      <c r="A369" s="13" t="s">
        <v>26</v>
      </c>
      <c r="B369" s="13" t="s">
        <v>31</v>
      </c>
      <c r="C369" s="13" t="s">
        <v>1880</v>
      </c>
      <c r="D369" s="13" t="s">
        <v>88</v>
      </c>
      <c r="J369" t="s">
        <v>26</v>
      </c>
      <c r="K369" t="s">
        <v>598</v>
      </c>
      <c r="L369" t="s">
        <v>1531</v>
      </c>
      <c r="M369" t="s">
        <v>638</v>
      </c>
    </row>
    <row r="370" spans="1:13" x14ac:dyDescent="0.2">
      <c r="A370" s="13" t="s">
        <v>26</v>
      </c>
      <c r="B370" s="13" t="s">
        <v>32</v>
      </c>
      <c r="C370" s="13" t="s">
        <v>114</v>
      </c>
      <c r="D370" s="13" t="s">
        <v>92</v>
      </c>
      <c r="J370" t="s">
        <v>26</v>
      </c>
      <c r="K370" t="s">
        <v>599</v>
      </c>
      <c r="L370" t="s">
        <v>1532</v>
      </c>
      <c r="M370" t="s">
        <v>614</v>
      </c>
    </row>
    <row r="371" spans="1:13" x14ac:dyDescent="0.2">
      <c r="A371" s="15" t="s">
        <v>26</v>
      </c>
      <c r="B371" s="15" t="s">
        <v>592</v>
      </c>
      <c r="C371" s="13" t="s">
        <v>1525</v>
      </c>
      <c r="D371" s="13" t="s">
        <v>637</v>
      </c>
      <c r="J371" t="s">
        <v>26</v>
      </c>
      <c r="K371" t="s">
        <v>600</v>
      </c>
      <c r="L371" t="s">
        <v>1533</v>
      </c>
      <c r="M371" t="s">
        <v>619</v>
      </c>
    </row>
    <row r="372" spans="1:13" x14ac:dyDescent="0.2">
      <c r="A372" s="15" t="s">
        <v>26</v>
      </c>
      <c r="B372" s="15" t="s">
        <v>605</v>
      </c>
      <c r="C372" s="13" t="s">
        <v>1538</v>
      </c>
      <c r="D372" s="13" t="s">
        <v>615</v>
      </c>
      <c r="J372" t="s">
        <v>26</v>
      </c>
      <c r="K372" t="s">
        <v>601</v>
      </c>
      <c r="L372" t="s">
        <v>1534</v>
      </c>
      <c r="M372" t="s">
        <v>624</v>
      </c>
    </row>
    <row r="373" spans="1:13" x14ac:dyDescent="0.2">
      <c r="A373" s="15" t="s">
        <v>26</v>
      </c>
      <c r="B373" s="15" t="s">
        <v>606</v>
      </c>
      <c r="C373" s="13" t="s">
        <v>1539</v>
      </c>
      <c r="D373" s="13" t="s">
        <v>620</v>
      </c>
      <c r="J373" t="s">
        <v>26</v>
      </c>
      <c r="K373" t="s">
        <v>602</v>
      </c>
      <c r="L373" t="s">
        <v>1535</v>
      </c>
      <c r="M373" t="s">
        <v>629</v>
      </c>
    </row>
    <row r="374" spans="1:13" x14ac:dyDescent="0.2">
      <c r="A374" s="15" t="s">
        <v>26</v>
      </c>
      <c r="B374" s="15" t="s">
        <v>607</v>
      </c>
      <c r="C374" s="13" t="s">
        <v>1540</v>
      </c>
      <c r="D374" s="13" t="s">
        <v>625</v>
      </c>
      <c r="J374" t="s">
        <v>26</v>
      </c>
      <c r="K374" t="s">
        <v>603</v>
      </c>
      <c r="L374" t="s">
        <v>1536</v>
      </c>
      <c r="M374" t="s">
        <v>634</v>
      </c>
    </row>
    <row r="375" spans="1:13" x14ac:dyDescent="0.2">
      <c r="A375" s="15" t="s">
        <v>26</v>
      </c>
      <c r="B375" s="15" t="s">
        <v>608</v>
      </c>
      <c r="C375" s="13" t="s">
        <v>1541</v>
      </c>
      <c r="D375" s="13" t="s">
        <v>630</v>
      </c>
      <c r="J375" t="s">
        <v>26</v>
      </c>
      <c r="K375" t="s">
        <v>604</v>
      </c>
      <c r="L375" t="s">
        <v>1537</v>
      </c>
      <c r="M375" t="s">
        <v>639</v>
      </c>
    </row>
    <row r="376" spans="1:13" x14ac:dyDescent="0.2">
      <c r="A376" s="15" t="s">
        <v>26</v>
      </c>
      <c r="B376" s="15" t="s">
        <v>609</v>
      </c>
      <c r="C376" s="13" t="s">
        <v>1542</v>
      </c>
      <c r="D376" s="13" t="s">
        <v>635</v>
      </c>
      <c r="J376" t="s">
        <v>26</v>
      </c>
      <c r="K376" t="s">
        <v>605</v>
      </c>
      <c r="L376" t="s">
        <v>1538</v>
      </c>
      <c r="M376" t="s">
        <v>615</v>
      </c>
    </row>
    <row r="377" spans="1:13" x14ac:dyDescent="0.2">
      <c r="A377" s="15" t="s">
        <v>26</v>
      </c>
      <c r="B377" s="15" t="s">
        <v>610</v>
      </c>
      <c r="C377" s="13" t="s">
        <v>1543</v>
      </c>
      <c r="D377" s="13" t="s">
        <v>640</v>
      </c>
      <c r="J377" t="s">
        <v>26</v>
      </c>
      <c r="K377" t="s">
        <v>606</v>
      </c>
      <c r="L377" t="s">
        <v>1539</v>
      </c>
      <c r="M377" t="s">
        <v>620</v>
      </c>
    </row>
    <row r="378" spans="1:13" x14ac:dyDescent="0.2">
      <c r="A378" s="15" t="s">
        <v>26</v>
      </c>
      <c r="B378" s="15" t="s">
        <v>587</v>
      </c>
      <c r="C378" s="13" t="s">
        <v>1520</v>
      </c>
      <c r="D378" s="13" t="s">
        <v>612</v>
      </c>
      <c r="J378" t="s">
        <v>26</v>
      </c>
      <c r="K378" t="s">
        <v>607</v>
      </c>
      <c r="L378" t="s">
        <v>1540</v>
      </c>
      <c r="M378" t="s">
        <v>625</v>
      </c>
    </row>
    <row r="379" spans="1:13" x14ac:dyDescent="0.2">
      <c r="A379" s="15" t="s">
        <v>26</v>
      </c>
      <c r="B379" s="15" t="s">
        <v>588</v>
      </c>
      <c r="C379" s="13" t="s">
        <v>1521</v>
      </c>
      <c r="D379" s="13" t="s">
        <v>617</v>
      </c>
      <c r="J379" t="s">
        <v>26</v>
      </c>
      <c r="K379" t="s">
        <v>608</v>
      </c>
      <c r="L379" t="s">
        <v>1541</v>
      </c>
      <c r="M379" t="s">
        <v>630</v>
      </c>
    </row>
    <row r="380" spans="1:13" x14ac:dyDescent="0.2">
      <c r="A380" s="15" t="s">
        <v>26</v>
      </c>
      <c r="B380" s="15" t="s">
        <v>589</v>
      </c>
      <c r="C380" s="13" t="s">
        <v>1522</v>
      </c>
      <c r="D380" s="13" t="s">
        <v>622</v>
      </c>
      <c r="J380" t="s">
        <v>26</v>
      </c>
      <c r="K380" t="s">
        <v>609</v>
      </c>
      <c r="L380" t="s">
        <v>1542</v>
      </c>
      <c r="M380" t="s">
        <v>635</v>
      </c>
    </row>
    <row r="381" spans="1:13" x14ac:dyDescent="0.2">
      <c r="A381" s="15" t="s">
        <v>26</v>
      </c>
      <c r="B381" s="15" t="s">
        <v>590</v>
      </c>
      <c r="C381" s="13" t="s">
        <v>1523</v>
      </c>
      <c r="D381" s="13" t="s">
        <v>627</v>
      </c>
      <c r="J381" t="s">
        <v>26</v>
      </c>
      <c r="K381" t="s">
        <v>610</v>
      </c>
      <c r="L381" t="s">
        <v>1543</v>
      </c>
      <c r="M381" t="s">
        <v>640</v>
      </c>
    </row>
    <row r="382" spans="1:13" x14ac:dyDescent="0.2">
      <c r="A382" s="15" t="s">
        <v>26</v>
      </c>
      <c r="B382" s="15" t="s">
        <v>591</v>
      </c>
      <c r="C382" s="13" t="s">
        <v>1524</v>
      </c>
      <c r="D382" s="13" t="s">
        <v>632</v>
      </c>
      <c r="J382" t="s">
        <v>25</v>
      </c>
      <c r="K382" t="s">
        <v>659</v>
      </c>
      <c r="L382" t="s">
        <v>1548</v>
      </c>
      <c r="M382" t="s">
        <v>641</v>
      </c>
    </row>
    <row r="383" spans="1:13" x14ac:dyDescent="0.2">
      <c r="A383" s="15" t="s">
        <v>26</v>
      </c>
      <c r="B383" s="15" t="s">
        <v>586</v>
      </c>
      <c r="C383" s="13" t="s">
        <v>1518</v>
      </c>
      <c r="D383" s="13" t="s">
        <v>636</v>
      </c>
      <c r="J383" t="s">
        <v>25</v>
      </c>
      <c r="K383" t="s">
        <v>660</v>
      </c>
      <c r="L383" t="s">
        <v>1549</v>
      </c>
      <c r="M383" t="s">
        <v>642</v>
      </c>
    </row>
    <row r="384" spans="1:13" x14ac:dyDescent="0.2">
      <c r="A384" s="15" t="s">
        <v>26</v>
      </c>
      <c r="B384" s="15" t="s">
        <v>593</v>
      </c>
      <c r="C384" s="13" t="s">
        <v>1526</v>
      </c>
      <c r="D384" s="13" t="s">
        <v>613</v>
      </c>
      <c r="J384" t="s">
        <v>25</v>
      </c>
      <c r="K384" t="s">
        <v>661</v>
      </c>
      <c r="L384" t="s">
        <v>1550</v>
      </c>
      <c r="M384" t="s">
        <v>643</v>
      </c>
    </row>
    <row r="385" spans="1:13" x14ac:dyDescent="0.2">
      <c r="A385" s="15" t="s">
        <v>26</v>
      </c>
      <c r="B385" s="15" t="s">
        <v>594</v>
      </c>
      <c r="C385" s="13" t="s">
        <v>1527</v>
      </c>
      <c r="D385" s="13" t="s">
        <v>618</v>
      </c>
      <c r="J385" t="s">
        <v>25</v>
      </c>
      <c r="K385" t="s">
        <v>662</v>
      </c>
      <c r="L385" t="s">
        <v>1553</v>
      </c>
      <c r="M385" t="s">
        <v>646</v>
      </c>
    </row>
    <row r="386" spans="1:13" x14ac:dyDescent="0.2">
      <c r="A386" s="15" t="s">
        <v>26</v>
      </c>
      <c r="B386" s="15" t="s">
        <v>595</v>
      </c>
      <c r="C386" s="13" t="s">
        <v>1528</v>
      </c>
      <c r="D386" s="13" t="s">
        <v>623</v>
      </c>
      <c r="J386" t="s">
        <v>25</v>
      </c>
      <c r="K386" t="s">
        <v>663</v>
      </c>
      <c r="L386" t="s">
        <v>1551</v>
      </c>
      <c r="M386" t="s">
        <v>644</v>
      </c>
    </row>
    <row r="387" spans="1:13" x14ac:dyDescent="0.2">
      <c r="A387" s="15" t="s">
        <v>26</v>
      </c>
      <c r="B387" s="15" t="s">
        <v>596</v>
      </c>
      <c r="C387" s="13" t="s">
        <v>1529</v>
      </c>
      <c r="D387" s="13" t="s">
        <v>628</v>
      </c>
      <c r="J387" t="s">
        <v>25</v>
      </c>
      <c r="K387" t="s">
        <v>664</v>
      </c>
      <c r="L387" t="s">
        <v>1552</v>
      </c>
      <c r="M387" t="s">
        <v>645</v>
      </c>
    </row>
    <row r="388" spans="1:13" x14ac:dyDescent="0.2">
      <c r="A388" s="15" t="s">
        <v>26</v>
      </c>
      <c r="B388" s="15" t="s">
        <v>597</v>
      </c>
      <c r="C388" s="13" t="s">
        <v>1530</v>
      </c>
      <c r="D388" s="13" t="s">
        <v>633</v>
      </c>
      <c r="J388" t="s">
        <v>25</v>
      </c>
      <c r="K388" t="s">
        <v>665</v>
      </c>
      <c r="L388" t="s">
        <v>1559</v>
      </c>
      <c r="M388" t="s">
        <v>647</v>
      </c>
    </row>
    <row r="389" spans="1:13" x14ac:dyDescent="0.2">
      <c r="A389" s="15" t="s">
        <v>26</v>
      </c>
      <c r="B389" s="15" t="s">
        <v>598</v>
      </c>
      <c r="C389" s="13" t="s">
        <v>1531</v>
      </c>
      <c r="D389" s="13" t="s">
        <v>638</v>
      </c>
      <c r="J389" t="s">
        <v>25</v>
      </c>
      <c r="K389" t="s">
        <v>666</v>
      </c>
      <c r="L389" t="s">
        <v>1554</v>
      </c>
      <c r="M389" t="s">
        <v>648</v>
      </c>
    </row>
    <row r="390" spans="1:13" x14ac:dyDescent="0.2">
      <c r="A390" s="15" t="s">
        <v>26</v>
      </c>
      <c r="B390" s="15" t="s">
        <v>599</v>
      </c>
      <c r="C390" s="13" t="s">
        <v>1532</v>
      </c>
      <c r="D390" s="13" t="s">
        <v>614</v>
      </c>
      <c r="J390" t="s">
        <v>25</v>
      </c>
      <c r="K390" t="s">
        <v>667</v>
      </c>
      <c r="L390" t="s">
        <v>1555</v>
      </c>
      <c r="M390" t="s">
        <v>649</v>
      </c>
    </row>
    <row r="391" spans="1:13" x14ac:dyDescent="0.2">
      <c r="A391" s="15" t="s">
        <v>26</v>
      </c>
      <c r="B391" s="15" t="s">
        <v>600</v>
      </c>
      <c r="C391" s="13" t="s">
        <v>1533</v>
      </c>
      <c r="D391" s="13" t="s">
        <v>619</v>
      </c>
      <c r="J391" t="s">
        <v>25</v>
      </c>
      <c r="K391" t="s">
        <v>668</v>
      </c>
      <c r="L391" t="s">
        <v>1556</v>
      </c>
      <c r="M391" t="s">
        <v>650</v>
      </c>
    </row>
    <row r="392" spans="1:13" x14ac:dyDescent="0.2">
      <c r="A392" s="15" t="s">
        <v>26</v>
      </c>
      <c r="B392" s="15" t="s">
        <v>601</v>
      </c>
      <c r="C392" s="13" t="s">
        <v>1534</v>
      </c>
      <c r="D392" s="13" t="s">
        <v>624</v>
      </c>
      <c r="J392" t="s">
        <v>25</v>
      </c>
      <c r="K392" t="s">
        <v>669</v>
      </c>
      <c r="L392" t="s">
        <v>1557</v>
      </c>
      <c r="M392" t="s">
        <v>651</v>
      </c>
    </row>
    <row r="393" spans="1:13" x14ac:dyDescent="0.2">
      <c r="A393" s="15" t="s">
        <v>26</v>
      </c>
      <c r="B393" s="15" t="s">
        <v>602</v>
      </c>
      <c r="C393" s="13" t="s">
        <v>1535</v>
      </c>
      <c r="D393" s="13" t="s">
        <v>629</v>
      </c>
      <c r="J393" t="s">
        <v>25</v>
      </c>
      <c r="K393" t="s">
        <v>670</v>
      </c>
      <c r="L393" t="s">
        <v>1558</v>
      </c>
      <c r="M393" t="s">
        <v>652</v>
      </c>
    </row>
    <row r="394" spans="1:13" x14ac:dyDescent="0.2">
      <c r="A394" s="15" t="s">
        <v>26</v>
      </c>
      <c r="B394" s="15" t="s">
        <v>603</v>
      </c>
      <c r="C394" s="13" t="s">
        <v>1536</v>
      </c>
      <c r="D394" s="13" t="s">
        <v>634</v>
      </c>
      <c r="J394" t="s">
        <v>25</v>
      </c>
      <c r="K394" t="s">
        <v>671</v>
      </c>
      <c r="L394" t="s">
        <v>1565</v>
      </c>
      <c r="M394" t="s">
        <v>658</v>
      </c>
    </row>
    <row r="395" spans="1:13" x14ac:dyDescent="0.2">
      <c r="A395" s="15" t="s">
        <v>26</v>
      </c>
      <c r="B395" s="15" t="s">
        <v>604</v>
      </c>
      <c r="C395" s="13" t="s">
        <v>1537</v>
      </c>
      <c r="D395" s="13" t="s">
        <v>639</v>
      </c>
      <c r="J395" t="s">
        <v>25</v>
      </c>
      <c r="K395" t="s">
        <v>672</v>
      </c>
      <c r="L395" t="s">
        <v>1560</v>
      </c>
      <c r="M395" t="s">
        <v>653</v>
      </c>
    </row>
    <row r="396" spans="1:13" x14ac:dyDescent="0.2">
      <c r="A396" s="15" t="s">
        <v>26</v>
      </c>
      <c r="B396" s="15" t="s">
        <v>136</v>
      </c>
      <c r="C396" s="13" t="s">
        <v>1956</v>
      </c>
      <c r="D396" s="13" t="s">
        <v>147</v>
      </c>
      <c r="J396" t="s">
        <v>25</v>
      </c>
      <c r="K396" t="s">
        <v>673</v>
      </c>
      <c r="L396" t="s">
        <v>1561</v>
      </c>
      <c r="M396" t="s">
        <v>654</v>
      </c>
    </row>
    <row r="397" spans="1:13" x14ac:dyDescent="0.2">
      <c r="A397" s="15" t="s">
        <v>26</v>
      </c>
      <c r="B397" s="15" t="s">
        <v>136</v>
      </c>
      <c r="C397" s="13" t="s">
        <v>2082</v>
      </c>
      <c r="D397" s="13" t="s">
        <v>395</v>
      </c>
      <c r="J397" t="s">
        <v>25</v>
      </c>
      <c r="K397" t="s">
        <v>674</v>
      </c>
      <c r="L397" t="s">
        <v>1562</v>
      </c>
      <c r="M397" t="s">
        <v>655</v>
      </c>
    </row>
    <row r="398" spans="1:13" x14ac:dyDescent="0.2">
      <c r="A398" s="13" t="s">
        <v>26</v>
      </c>
      <c r="B398" s="13" t="s">
        <v>137</v>
      </c>
      <c r="C398" s="13" t="s">
        <v>1957</v>
      </c>
      <c r="D398" s="13" t="s">
        <v>142</v>
      </c>
      <c r="J398" t="s">
        <v>25</v>
      </c>
      <c r="K398" t="s">
        <v>675</v>
      </c>
      <c r="L398" t="s">
        <v>1563</v>
      </c>
      <c r="M398" t="s">
        <v>656</v>
      </c>
    </row>
    <row r="399" spans="1:13" x14ac:dyDescent="0.2">
      <c r="A399" s="15" t="s">
        <v>26</v>
      </c>
      <c r="B399" s="15" t="s">
        <v>137</v>
      </c>
      <c r="C399" s="13" t="s">
        <v>2073</v>
      </c>
      <c r="D399" s="13" t="s">
        <v>399</v>
      </c>
      <c r="J399" t="s">
        <v>25</v>
      </c>
      <c r="K399" t="s">
        <v>676</v>
      </c>
      <c r="L399" t="s">
        <v>1564</v>
      </c>
      <c r="M399" t="s">
        <v>657</v>
      </c>
    </row>
    <row r="400" spans="1:13" x14ac:dyDescent="0.2">
      <c r="A400" s="13" t="s">
        <v>26</v>
      </c>
      <c r="B400" s="13" t="s">
        <v>138</v>
      </c>
      <c r="C400" s="13" t="s">
        <v>1958</v>
      </c>
      <c r="D400" s="13" t="s">
        <v>143</v>
      </c>
      <c r="J400" t="s">
        <v>26</v>
      </c>
      <c r="K400" t="s">
        <v>659</v>
      </c>
      <c r="L400" t="s">
        <v>1568</v>
      </c>
      <c r="M400" t="s">
        <v>677</v>
      </c>
    </row>
    <row r="401" spans="1:13" x14ac:dyDescent="0.2">
      <c r="A401" s="15" t="s">
        <v>26</v>
      </c>
      <c r="B401" s="15" t="s">
        <v>138</v>
      </c>
      <c r="C401" s="13" t="s">
        <v>2074</v>
      </c>
      <c r="D401" s="13" t="s">
        <v>402</v>
      </c>
      <c r="J401" t="s">
        <v>26</v>
      </c>
      <c r="K401" t="s">
        <v>660</v>
      </c>
      <c r="L401" t="s">
        <v>1566</v>
      </c>
      <c r="M401" t="s">
        <v>683</v>
      </c>
    </row>
    <row r="402" spans="1:13" x14ac:dyDescent="0.2">
      <c r="A402" s="13" t="s">
        <v>26</v>
      </c>
      <c r="B402" s="13" t="s">
        <v>139</v>
      </c>
      <c r="C402" s="13" t="s">
        <v>1886</v>
      </c>
      <c r="D402" s="13" t="s">
        <v>144</v>
      </c>
      <c r="J402" t="s">
        <v>26</v>
      </c>
      <c r="K402" t="s">
        <v>661</v>
      </c>
      <c r="L402" t="s">
        <v>1567</v>
      </c>
      <c r="M402" t="s">
        <v>689</v>
      </c>
    </row>
    <row r="403" spans="1:13" x14ac:dyDescent="0.2">
      <c r="A403" s="15" t="s">
        <v>26</v>
      </c>
      <c r="B403" s="15" t="s">
        <v>139</v>
      </c>
      <c r="C403" s="13" t="s">
        <v>1906</v>
      </c>
      <c r="D403" s="13" t="s">
        <v>405</v>
      </c>
      <c r="J403" t="s">
        <v>26</v>
      </c>
      <c r="K403" t="s">
        <v>662</v>
      </c>
      <c r="L403" t="s">
        <v>1569</v>
      </c>
      <c r="M403" t="s">
        <v>678</v>
      </c>
    </row>
    <row r="404" spans="1:13" x14ac:dyDescent="0.2">
      <c r="A404" s="13" t="s">
        <v>26</v>
      </c>
      <c r="B404" s="13" t="s">
        <v>140</v>
      </c>
      <c r="C404" s="13" t="s">
        <v>1959</v>
      </c>
      <c r="D404" s="13" t="s">
        <v>145</v>
      </c>
      <c r="J404" t="s">
        <v>26</v>
      </c>
      <c r="K404" t="s">
        <v>663</v>
      </c>
      <c r="L404" t="s">
        <v>1570</v>
      </c>
      <c r="M404" t="s">
        <v>684</v>
      </c>
    </row>
    <row r="405" spans="1:13" x14ac:dyDescent="0.2">
      <c r="A405" s="15" t="s">
        <v>26</v>
      </c>
      <c r="B405" s="15" t="s">
        <v>140</v>
      </c>
      <c r="C405" s="13" t="s">
        <v>2075</v>
      </c>
      <c r="D405" s="13" t="s">
        <v>408</v>
      </c>
      <c r="J405" t="s">
        <v>26</v>
      </c>
      <c r="K405" t="s">
        <v>664</v>
      </c>
      <c r="L405" t="s">
        <v>1571</v>
      </c>
      <c r="M405" t="s">
        <v>690</v>
      </c>
    </row>
    <row r="406" spans="1:13" x14ac:dyDescent="0.2">
      <c r="A406" s="15" t="s">
        <v>26</v>
      </c>
      <c r="B406" s="15" t="s">
        <v>581</v>
      </c>
      <c r="C406" s="13" t="s">
        <v>1519</v>
      </c>
      <c r="D406" s="13" t="s">
        <v>611</v>
      </c>
      <c r="J406" t="s">
        <v>26</v>
      </c>
      <c r="K406" t="s">
        <v>665</v>
      </c>
      <c r="L406" t="s">
        <v>1572</v>
      </c>
      <c r="M406" t="s">
        <v>679</v>
      </c>
    </row>
    <row r="407" spans="1:13" x14ac:dyDescent="0.2">
      <c r="A407" s="13" t="s">
        <v>26</v>
      </c>
      <c r="B407" s="13" t="s">
        <v>141</v>
      </c>
      <c r="C407" s="13" t="s">
        <v>1960</v>
      </c>
      <c r="D407" s="13" t="s">
        <v>146</v>
      </c>
      <c r="J407" t="s">
        <v>26</v>
      </c>
      <c r="K407" t="s">
        <v>666</v>
      </c>
      <c r="L407" t="s">
        <v>1573</v>
      </c>
      <c r="M407" t="s">
        <v>681</v>
      </c>
    </row>
    <row r="408" spans="1:13" x14ac:dyDescent="0.2">
      <c r="A408" s="15" t="s">
        <v>26</v>
      </c>
      <c r="B408" s="15" t="s">
        <v>141</v>
      </c>
      <c r="C408" s="13" t="s">
        <v>2076</v>
      </c>
      <c r="D408" s="13" t="s">
        <v>411</v>
      </c>
      <c r="J408" t="s">
        <v>26</v>
      </c>
      <c r="K408" t="s">
        <v>667</v>
      </c>
      <c r="L408" t="s">
        <v>1574</v>
      </c>
      <c r="M408" t="s">
        <v>685</v>
      </c>
    </row>
    <row r="409" spans="1:13" x14ac:dyDescent="0.2">
      <c r="A409" s="15" t="s">
        <v>26</v>
      </c>
      <c r="B409" s="15" t="s">
        <v>414</v>
      </c>
      <c r="C409" s="13" t="s">
        <v>1407</v>
      </c>
      <c r="D409" s="13" t="s">
        <v>474</v>
      </c>
      <c r="J409" t="s">
        <v>26</v>
      </c>
      <c r="K409" t="s">
        <v>668</v>
      </c>
      <c r="L409" t="s">
        <v>1575</v>
      </c>
      <c r="M409" t="s">
        <v>687</v>
      </c>
    </row>
    <row r="410" spans="1:13" x14ac:dyDescent="0.2">
      <c r="A410" s="15" t="s">
        <v>26</v>
      </c>
      <c r="B410" s="15" t="s">
        <v>415</v>
      </c>
      <c r="C410" s="13" t="s">
        <v>1408</v>
      </c>
      <c r="D410" s="13" t="s">
        <v>479</v>
      </c>
      <c r="J410" t="s">
        <v>26</v>
      </c>
      <c r="K410" t="s">
        <v>669</v>
      </c>
      <c r="L410" t="s">
        <v>1576</v>
      </c>
      <c r="M410" t="s">
        <v>691</v>
      </c>
    </row>
    <row r="411" spans="1:13" x14ac:dyDescent="0.2">
      <c r="A411" s="15" t="s">
        <v>26</v>
      </c>
      <c r="B411" s="15" t="s">
        <v>416</v>
      </c>
      <c r="C411" s="13" t="s">
        <v>1409</v>
      </c>
      <c r="D411" s="13" t="s">
        <v>484</v>
      </c>
      <c r="J411" t="s">
        <v>26</v>
      </c>
      <c r="K411" t="s">
        <v>670</v>
      </c>
      <c r="L411" t="s">
        <v>1577</v>
      </c>
      <c r="M411" t="s">
        <v>693</v>
      </c>
    </row>
    <row r="412" spans="1:13" x14ac:dyDescent="0.2">
      <c r="A412" s="15" t="s">
        <v>26</v>
      </c>
      <c r="B412" s="15" t="s">
        <v>417</v>
      </c>
      <c r="C412" s="13" t="s">
        <v>1410</v>
      </c>
      <c r="D412" s="13" t="s">
        <v>489</v>
      </c>
      <c r="J412" t="s">
        <v>26</v>
      </c>
      <c r="K412" t="s">
        <v>671</v>
      </c>
      <c r="L412" t="s">
        <v>1578</v>
      </c>
      <c r="M412" t="s">
        <v>680</v>
      </c>
    </row>
    <row r="413" spans="1:13" x14ac:dyDescent="0.2">
      <c r="A413" s="15" t="s">
        <v>26</v>
      </c>
      <c r="B413" s="15" t="s">
        <v>418</v>
      </c>
      <c r="C413" s="13" t="s">
        <v>1411</v>
      </c>
      <c r="D413" s="13" t="s">
        <v>494</v>
      </c>
      <c r="J413" t="s">
        <v>26</v>
      </c>
      <c r="K413" t="s">
        <v>672</v>
      </c>
      <c r="L413" t="s">
        <v>1579</v>
      </c>
      <c r="M413" t="s">
        <v>682</v>
      </c>
    </row>
    <row r="414" spans="1:13" x14ac:dyDescent="0.2">
      <c r="A414" s="15" t="s">
        <v>26</v>
      </c>
      <c r="B414" s="15" t="s">
        <v>419</v>
      </c>
      <c r="C414" s="13" t="s">
        <v>1412</v>
      </c>
      <c r="D414" s="13" t="s">
        <v>499</v>
      </c>
      <c r="J414" t="s">
        <v>26</v>
      </c>
      <c r="K414" t="s">
        <v>673</v>
      </c>
      <c r="L414" t="s">
        <v>1580</v>
      </c>
      <c r="M414" t="s">
        <v>686</v>
      </c>
    </row>
    <row r="415" spans="1:13" x14ac:dyDescent="0.2">
      <c r="A415" s="15" t="s">
        <v>26</v>
      </c>
      <c r="B415" s="15" t="s">
        <v>582</v>
      </c>
      <c r="C415" s="13" t="s">
        <v>1514</v>
      </c>
      <c r="D415" s="13" t="s">
        <v>616</v>
      </c>
      <c r="J415" t="s">
        <v>26</v>
      </c>
      <c r="K415" t="s">
        <v>674</v>
      </c>
      <c r="L415" t="s">
        <v>1581</v>
      </c>
      <c r="M415" t="s">
        <v>688</v>
      </c>
    </row>
    <row r="416" spans="1:13" x14ac:dyDescent="0.2">
      <c r="A416" s="15" t="s">
        <v>26</v>
      </c>
      <c r="B416" s="15" t="s">
        <v>583</v>
      </c>
      <c r="C416" s="13" t="s">
        <v>1515</v>
      </c>
      <c r="D416" s="13" t="s">
        <v>621</v>
      </c>
      <c r="J416" t="s">
        <v>26</v>
      </c>
      <c r="K416" t="s">
        <v>675</v>
      </c>
      <c r="L416" t="s">
        <v>1585</v>
      </c>
      <c r="M416" t="s">
        <v>692</v>
      </c>
    </row>
    <row r="417" spans="1:13" x14ac:dyDescent="0.2">
      <c r="A417" s="15" t="s">
        <v>26</v>
      </c>
      <c r="B417" s="15" t="s">
        <v>584</v>
      </c>
      <c r="C417" s="13" t="s">
        <v>1516</v>
      </c>
      <c r="D417" s="13" t="s">
        <v>626</v>
      </c>
      <c r="J417" t="s">
        <v>26</v>
      </c>
      <c r="K417" t="s">
        <v>676</v>
      </c>
      <c r="L417" t="s">
        <v>1586</v>
      </c>
      <c r="M417" t="s">
        <v>694</v>
      </c>
    </row>
    <row r="418" spans="1:13" x14ac:dyDescent="0.2">
      <c r="A418" s="15" t="s">
        <v>26</v>
      </c>
      <c r="B418" s="15" t="s">
        <v>585</v>
      </c>
      <c r="C418" s="13" t="s">
        <v>1517</v>
      </c>
      <c r="D418" s="13" t="s">
        <v>631</v>
      </c>
      <c r="J418" t="s">
        <v>25</v>
      </c>
      <c r="K418" t="s">
        <v>1198</v>
      </c>
      <c r="L418" t="s">
        <v>1589</v>
      </c>
      <c r="M418" t="s">
        <v>695</v>
      </c>
    </row>
    <row r="419" spans="1:13" x14ac:dyDescent="0.2">
      <c r="A419" s="15" t="s">
        <v>26</v>
      </c>
      <c r="B419" s="15" t="s">
        <v>63</v>
      </c>
      <c r="C419" s="13" t="s">
        <v>1972</v>
      </c>
      <c r="D419" s="13" t="s">
        <v>99</v>
      </c>
      <c r="J419" t="s">
        <v>25</v>
      </c>
      <c r="K419" t="s">
        <v>1193</v>
      </c>
      <c r="L419" t="s">
        <v>1587</v>
      </c>
      <c r="M419" t="s">
        <v>696</v>
      </c>
    </row>
    <row r="420" spans="1:13" x14ac:dyDescent="0.2">
      <c r="A420" s="13" t="s">
        <v>26</v>
      </c>
      <c r="B420" s="13" t="s">
        <v>246</v>
      </c>
      <c r="C420" s="13" t="s">
        <v>1975</v>
      </c>
      <c r="D420" s="13" t="s">
        <v>221</v>
      </c>
      <c r="J420" t="s">
        <v>25</v>
      </c>
      <c r="K420" t="s">
        <v>1194</v>
      </c>
      <c r="L420" t="s">
        <v>1588</v>
      </c>
      <c r="M420" t="s">
        <v>697</v>
      </c>
    </row>
    <row r="421" spans="1:13" x14ac:dyDescent="0.2">
      <c r="A421" s="13" t="s">
        <v>26</v>
      </c>
      <c r="B421" s="13" t="s">
        <v>247</v>
      </c>
      <c r="C421" s="13" t="s">
        <v>1976</v>
      </c>
      <c r="D421" s="13" t="s">
        <v>222</v>
      </c>
      <c r="J421" t="s">
        <v>25</v>
      </c>
      <c r="K421" t="s">
        <v>1195</v>
      </c>
      <c r="L421" t="s">
        <v>1590</v>
      </c>
      <c r="M421" t="s">
        <v>698</v>
      </c>
    </row>
    <row r="422" spans="1:13" x14ac:dyDescent="0.2">
      <c r="A422" s="13" t="s">
        <v>26</v>
      </c>
      <c r="B422" s="13" t="s">
        <v>248</v>
      </c>
      <c r="C422" s="13" t="s">
        <v>599</v>
      </c>
      <c r="D422" s="13" t="s">
        <v>223</v>
      </c>
      <c r="J422" t="s">
        <v>25</v>
      </c>
      <c r="K422" t="s">
        <v>1196</v>
      </c>
      <c r="L422" t="s">
        <v>1591</v>
      </c>
      <c r="M422" t="s">
        <v>699</v>
      </c>
    </row>
    <row r="423" spans="1:13" x14ac:dyDescent="0.2">
      <c r="A423" s="13" t="s">
        <v>26</v>
      </c>
      <c r="B423" s="13" t="s">
        <v>249</v>
      </c>
      <c r="C423" s="13" t="s">
        <v>1888</v>
      </c>
      <c r="D423" s="13" t="s">
        <v>224</v>
      </c>
      <c r="J423" t="s">
        <v>25</v>
      </c>
      <c r="K423" t="s">
        <v>1197</v>
      </c>
      <c r="L423" t="s">
        <v>1592</v>
      </c>
      <c r="M423" t="s">
        <v>700</v>
      </c>
    </row>
    <row r="424" spans="1:13" x14ac:dyDescent="0.2">
      <c r="A424" s="13" t="s">
        <v>26</v>
      </c>
      <c r="B424" s="13" t="s">
        <v>250</v>
      </c>
      <c r="C424" s="13" t="s">
        <v>1977</v>
      </c>
      <c r="D424" s="13" t="s">
        <v>225</v>
      </c>
      <c r="J424" t="s">
        <v>25</v>
      </c>
      <c r="K424" t="s">
        <v>1181</v>
      </c>
      <c r="L424" t="s">
        <v>1593</v>
      </c>
      <c r="M424" t="s">
        <v>701</v>
      </c>
    </row>
    <row r="425" spans="1:13" x14ac:dyDescent="0.2">
      <c r="A425" s="13" t="s">
        <v>26</v>
      </c>
      <c r="B425" s="13" t="s">
        <v>251</v>
      </c>
      <c r="C425" s="13" t="s">
        <v>665</v>
      </c>
      <c r="D425" s="13" t="s">
        <v>226</v>
      </c>
      <c r="J425" t="s">
        <v>25</v>
      </c>
      <c r="K425" t="s">
        <v>1182</v>
      </c>
      <c r="L425" t="s">
        <v>1594</v>
      </c>
      <c r="M425" t="s">
        <v>702</v>
      </c>
    </row>
    <row r="426" spans="1:13" x14ac:dyDescent="0.2">
      <c r="A426" s="13" t="s">
        <v>26</v>
      </c>
      <c r="B426" s="13" t="s">
        <v>58</v>
      </c>
      <c r="C426" s="13" t="s">
        <v>1968</v>
      </c>
      <c r="D426" s="13" t="s">
        <v>78</v>
      </c>
      <c r="J426" t="s">
        <v>25</v>
      </c>
      <c r="K426" t="s">
        <v>1183</v>
      </c>
      <c r="L426" t="s">
        <v>1595</v>
      </c>
      <c r="M426" t="s">
        <v>703</v>
      </c>
    </row>
    <row r="427" spans="1:13" x14ac:dyDescent="0.2">
      <c r="A427" s="13" t="s">
        <v>26</v>
      </c>
      <c r="B427" s="13" t="s">
        <v>59</v>
      </c>
      <c r="C427" s="13" t="s">
        <v>1969</v>
      </c>
      <c r="D427" s="13" t="s">
        <v>83</v>
      </c>
      <c r="J427" t="s">
        <v>25</v>
      </c>
      <c r="K427" t="s">
        <v>1184</v>
      </c>
      <c r="L427" t="s">
        <v>1596</v>
      </c>
      <c r="M427" t="s">
        <v>704</v>
      </c>
    </row>
    <row r="428" spans="1:13" x14ac:dyDescent="0.2">
      <c r="A428" s="15" t="s">
        <v>26</v>
      </c>
      <c r="B428" s="15" t="s">
        <v>60</v>
      </c>
      <c r="C428" s="13" t="s">
        <v>1970</v>
      </c>
      <c r="D428" s="13" t="s">
        <v>87</v>
      </c>
      <c r="J428" t="s">
        <v>25</v>
      </c>
      <c r="K428" t="s">
        <v>1185</v>
      </c>
      <c r="L428" t="s">
        <v>1597</v>
      </c>
      <c r="M428" t="s">
        <v>705</v>
      </c>
    </row>
    <row r="429" spans="1:13" x14ac:dyDescent="0.2">
      <c r="A429" s="13" t="s">
        <v>26</v>
      </c>
      <c r="B429" s="13" t="s">
        <v>61</v>
      </c>
      <c r="C429" s="13" t="s">
        <v>1884</v>
      </c>
      <c r="D429" s="13" t="s">
        <v>91</v>
      </c>
      <c r="J429" t="s">
        <v>25</v>
      </c>
      <c r="K429" t="s">
        <v>1186</v>
      </c>
      <c r="L429" t="s">
        <v>1598</v>
      </c>
      <c r="M429" t="s">
        <v>706</v>
      </c>
    </row>
    <row r="430" spans="1:13" x14ac:dyDescent="0.2">
      <c r="A430" s="13" t="s">
        <v>26</v>
      </c>
      <c r="B430" s="13" t="s">
        <v>62</v>
      </c>
      <c r="C430" s="13" t="s">
        <v>1971</v>
      </c>
      <c r="D430" s="13" t="s">
        <v>95</v>
      </c>
      <c r="J430" t="s">
        <v>25</v>
      </c>
      <c r="K430" t="s">
        <v>1187</v>
      </c>
      <c r="L430" t="s">
        <v>1599</v>
      </c>
      <c r="M430" t="s">
        <v>707</v>
      </c>
    </row>
    <row r="431" spans="1:13" x14ac:dyDescent="0.2">
      <c r="A431" s="13" t="s">
        <v>26</v>
      </c>
      <c r="B431" s="13" t="s">
        <v>57</v>
      </c>
      <c r="C431" s="13" t="s">
        <v>1933</v>
      </c>
      <c r="D431" s="13" t="s">
        <v>98</v>
      </c>
      <c r="J431" t="s">
        <v>25</v>
      </c>
      <c r="K431" t="s">
        <v>1188</v>
      </c>
      <c r="L431" t="s">
        <v>1600</v>
      </c>
      <c r="M431" t="s">
        <v>708</v>
      </c>
    </row>
    <row r="432" spans="1:13" x14ac:dyDescent="0.2">
      <c r="A432" s="13" t="s">
        <v>26</v>
      </c>
      <c r="B432" s="13" t="s">
        <v>112</v>
      </c>
      <c r="C432" s="13" t="s">
        <v>1939</v>
      </c>
      <c r="D432" s="13" t="s">
        <v>135</v>
      </c>
      <c r="J432" t="s">
        <v>25</v>
      </c>
      <c r="K432" t="s">
        <v>1189</v>
      </c>
      <c r="L432" t="s">
        <v>1601</v>
      </c>
      <c r="M432" t="s">
        <v>709</v>
      </c>
    </row>
    <row r="433" spans="1:13" x14ac:dyDescent="0.2">
      <c r="A433" s="13" t="s">
        <v>26</v>
      </c>
      <c r="B433" s="13" t="s">
        <v>113</v>
      </c>
      <c r="C433" s="13" t="s">
        <v>1940</v>
      </c>
      <c r="D433" s="13" t="s">
        <v>130</v>
      </c>
      <c r="J433" t="s">
        <v>25</v>
      </c>
      <c r="K433" t="s">
        <v>1190</v>
      </c>
      <c r="L433" t="s">
        <v>1602</v>
      </c>
      <c r="M433" t="s">
        <v>710</v>
      </c>
    </row>
    <row r="434" spans="1:13" x14ac:dyDescent="0.2">
      <c r="A434" s="15" t="s">
        <v>26</v>
      </c>
      <c r="B434" s="15" t="s">
        <v>114</v>
      </c>
      <c r="C434" s="13" t="s">
        <v>1941</v>
      </c>
      <c r="D434" s="13" t="s">
        <v>131</v>
      </c>
      <c r="J434" t="s">
        <v>25</v>
      </c>
      <c r="K434" t="s">
        <v>1191</v>
      </c>
      <c r="L434" t="s">
        <v>1603</v>
      </c>
      <c r="M434" t="s">
        <v>711</v>
      </c>
    </row>
    <row r="435" spans="1:13" x14ac:dyDescent="0.2">
      <c r="A435" s="13" t="s">
        <v>26</v>
      </c>
      <c r="B435" s="13" t="s">
        <v>115</v>
      </c>
      <c r="C435" s="13" t="s">
        <v>1885</v>
      </c>
      <c r="D435" s="13" t="s">
        <v>132</v>
      </c>
      <c r="J435" t="s">
        <v>25</v>
      </c>
      <c r="K435" t="s">
        <v>1192</v>
      </c>
      <c r="L435" t="s">
        <v>1604</v>
      </c>
      <c r="M435" t="s">
        <v>712</v>
      </c>
    </row>
    <row r="436" spans="1:13" x14ac:dyDescent="0.2">
      <c r="A436" s="13" t="s">
        <v>26</v>
      </c>
      <c r="B436" s="13" t="s">
        <v>116</v>
      </c>
      <c r="C436" s="13" t="s">
        <v>1942</v>
      </c>
      <c r="D436" s="13" t="s">
        <v>133</v>
      </c>
      <c r="J436" t="s">
        <v>26</v>
      </c>
      <c r="K436" t="s">
        <v>1198</v>
      </c>
      <c r="L436" t="s">
        <v>1605</v>
      </c>
      <c r="M436" t="s">
        <v>713</v>
      </c>
    </row>
    <row r="437" spans="1:13" x14ac:dyDescent="0.2">
      <c r="A437" s="15" t="s">
        <v>26</v>
      </c>
      <c r="B437" s="15" t="s">
        <v>117</v>
      </c>
      <c r="C437" s="13" t="s">
        <v>1943</v>
      </c>
      <c r="D437" s="13" t="s">
        <v>134</v>
      </c>
      <c r="J437" t="s">
        <v>26</v>
      </c>
      <c r="K437" t="s">
        <v>1193</v>
      </c>
      <c r="L437" t="s">
        <v>1606</v>
      </c>
      <c r="M437" t="s">
        <v>714</v>
      </c>
    </row>
    <row r="438" spans="1:13" x14ac:dyDescent="0.2">
      <c r="A438" s="13" t="s">
        <v>26</v>
      </c>
      <c r="B438" s="13" t="s">
        <v>52</v>
      </c>
      <c r="C438" s="13" t="s">
        <v>1929</v>
      </c>
      <c r="D438" s="13" t="s">
        <v>77</v>
      </c>
      <c r="J438" t="s">
        <v>26</v>
      </c>
      <c r="K438" t="s">
        <v>1194</v>
      </c>
      <c r="L438" t="s">
        <v>1607</v>
      </c>
      <c r="M438" t="s">
        <v>715</v>
      </c>
    </row>
    <row r="439" spans="1:13" x14ac:dyDescent="0.2">
      <c r="A439" s="15" t="s">
        <v>26</v>
      </c>
      <c r="B439" s="15" t="s">
        <v>420</v>
      </c>
      <c r="C439" s="13" t="s">
        <v>1413</v>
      </c>
      <c r="D439" s="13" t="s">
        <v>475</v>
      </c>
      <c r="J439" t="s">
        <v>26</v>
      </c>
      <c r="K439" t="s">
        <v>1195</v>
      </c>
      <c r="L439" t="s">
        <v>1608</v>
      </c>
      <c r="M439" t="s">
        <v>716</v>
      </c>
    </row>
    <row r="440" spans="1:13" x14ac:dyDescent="0.2">
      <c r="A440" s="15" t="s">
        <v>26</v>
      </c>
      <c r="B440" s="15" t="s">
        <v>421</v>
      </c>
      <c r="C440" s="13" t="s">
        <v>1414</v>
      </c>
      <c r="D440" s="13" t="s">
        <v>480</v>
      </c>
      <c r="J440" t="s">
        <v>26</v>
      </c>
      <c r="K440" t="s">
        <v>1196</v>
      </c>
      <c r="L440" t="s">
        <v>1609</v>
      </c>
      <c r="M440" t="s">
        <v>717</v>
      </c>
    </row>
    <row r="441" spans="1:13" x14ac:dyDescent="0.2">
      <c r="A441" s="15" t="s">
        <v>26</v>
      </c>
      <c r="B441" s="15" t="s">
        <v>422</v>
      </c>
      <c r="C441" s="13" t="s">
        <v>1415</v>
      </c>
      <c r="D441" s="13" t="s">
        <v>485</v>
      </c>
      <c r="J441" t="s">
        <v>26</v>
      </c>
      <c r="K441" t="s">
        <v>1197</v>
      </c>
      <c r="L441" t="s">
        <v>1610</v>
      </c>
      <c r="M441" t="s">
        <v>718</v>
      </c>
    </row>
    <row r="442" spans="1:13" x14ac:dyDescent="0.2">
      <c r="A442" s="15" t="s">
        <v>26</v>
      </c>
      <c r="B442" s="15" t="s">
        <v>423</v>
      </c>
      <c r="C442" s="13" t="s">
        <v>1416</v>
      </c>
      <c r="D442" s="13" t="s">
        <v>490</v>
      </c>
      <c r="J442" t="s">
        <v>26</v>
      </c>
      <c r="K442" t="s">
        <v>1181</v>
      </c>
      <c r="L442" t="s">
        <v>1611</v>
      </c>
      <c r="M442" t="s">
        <v>719</v>
      </c>
    </row>
    <row r="443" spans="1:13" x14ac:dyDescent="0.2">
      <c r="A443" s="15" t="s">
        <v>26</v>
      </c>
      <c r="B443" s="15" t="s">
        <v>424</v>
      </c>
      <c r="C443" s="13" t="s">
        <v>1417</v>
      </c>
      <c r="D443" s="13" t="s">
        <v>495</v>
      </c>
      <c r="J443" t="s">
        <v>26</v>
      </c>
      <c r="K443" t="s">
        <v>1182</v>
      </c>
      <c r="L443" t="s">
        <v>1612</v>
      </c>
      <c r="M443" t="s">
        <v>720</v>
      </c>
    </row>
    <row r="444" spans="1:13" x14ac:dyDescent="0.2">
      <c r="A444" s="15" t="s">
        <v>26</v>
      </c>
      <c r="B444" s="15" t="s">
        <v>425</v>
      </c>
      <c r="C444" s="13" t="s">
        <v>1418</v>
      </c>
      <c r="D444" s="13" t="s">
        <v>500</v>
      </c>
      <c r="J444" t="s">
        <v>26</v>
      </c>
      <c r="K444" t="s">
        <v>1183</v>
      </c>
      <c r="L444" t="s">
        <v>1613</v>
      </c>
      <c r="M444" t="s">
        <v>721</v>
      </c>
    </row>
    <row r="445" spans="1:13" x14ac:dyDescent="0.2">
      <c r="A445" s="13" t="s">
        <v>26</v>
      </c>
      <c r="B445" s="13" t="s">
        <v>53</v>
      </c>
      <c r="C445" s="13" t="s">
        <v>1930</v>
      </c>
      <c r="D445" s="13" t="s">
        <v>82</v>
      </c>
      <c r="J445" t="s">
        <v>26</v>
      </c>
      <c r="K445" t="s">
        <v>1184</v>
      </c>
      <c r="L445" t="s">
        <v>1614</v>
      </c>
      <c r="M445" t="s">
        <v>722</v>
      </c>
    </row>
    <row r="446" spans="1:13" x14ac:dyDescent="0.2">
      <c r="A446" s="13" t="s">
        <v>26</v>
      </c>
      <c r="B446" s="13" t="s">
        <v>54</v>
      </c>
      <c r="C446" s="13" t="s">
        <v>1931</v>
      </c>
      <c r="D446" s="13" t="s">
        <v>86</v>
      </c>
      <c r="J446" t="s">
        <v>26</v>
      </c>
      <c r="K446" t="s">
        <v>1185</v>
      </c>
      <c r="L446" t="s">
        <v>1615</v>
      </c>
      <c r="M446" t="s">
        <v>723</v>
      </c>
    </row>
    <row r="447" spans="1:13" x14ac:dyDescent="0.2">
      <c r="A447" s="13" t="s">
        <v>26</v>
      </c>
      <c r="B447" s="13" t="s">
        <v>55</v>
      </c>
      <c r="C447" s="13" t="s">
        <v>1883</v>
      </c>
      <c r="D447" s="13" t="s">
        <v>90</v>
      </c>
      <c r="J447" t="s">
        <v>26</v>
      </c>
      <c r="K447" t="s">
        <v>1186</v>
      </c>
      <c r="L447" t="s">
        <v>1616</v>
      </c>
      <c r="M447" t="s">
        <v>724</v>
      </c>
    </row>
    <row r="448" spans="1:13" x14ac:dyDescent="0.2">
      <c r="A448" s="13" t="s">
        <v>26</v>
      </c>
      <c r="B448" s="13" t="s">
        <v>56</v>
      </c>
      <c r="C448" s="13" t="s">
        <v>1932</v>
      </c>
      <c r="D448" s="13" t="s">
        <v>94</v>
      </c>
      <c r="J448" t="s">
        <v>26</v>
      </c>
      <c r="K448" t="s">
        <v>1187</v>
      </c>
      <c r="L448" t="s">
        <v>1617</v>
      </c>
      <c r="M448" t="s">
        <v>725</v>
      </c>
    </row>
    <row r="449" spans="1:13" x14ac:dyDescent="0.2">
      <c r="A449" s="15" t="s">
        <v>26</v>
      </c>
      <c r="B449" s="15" t="s">
        <v>665</v>
      </c>
      <c r="C449" s="13" t="s">
        <v>1572</v>
      </c>
      <c r="D449" s="13" t="s">
        <v>679</v>
      </c>
      <c r="J449" t="s">
        <v>26</v>
      </c>
      <c r="K449" t="s">
        <v>1188</v>
      </c>
      <c r="L449" t="s">
        <v>1618</v>
      </c>
      <c r="M449" t="s">
        <v>726</v>
      </c>
    </row>
    <row r="450" spans="1:13" x14ac:dyDescent="0.2">
      <c r="A450" s="15" t="s">
        <v>26</v>
      </c>
      <c r="B450" s="15" t="s">
        <v>666</v>
      </c>
      <c r="C450" s="13" t="s">
        <v>1573</v>
      </c>
      <c r="D450" s="13" t="s">
        <v>681</v>
      </c>
      <c r="J450" t="s">
        <v>26</v>
      </c>
      <c r="K450" t="s">
        <v>1189</v>
      </c>
      <c r="L450" t="s">
        <v>1619</v>
      </c>
      <c r="M450" t="s">
        <v>727</v>
      </c>
    </row>
    <row r="451" spans="1:13" x14ac:dyDescent="0.2">
      <c r="A451" s="15" t="s">
        <v>26</v>
      </c>
      <c r="B451" s="15" t="s">
        <v>667</v>
      </c>
      <c r="C451" s="13" t="s">
        <v>1574</v>
      </c>
      <c r="D451" s="13" t="s">
        <v>685</v>
      </c>
      <c r="J451" t="s">
        <v>26</v>
      </c>
      <c r="K451" t="s">
        <v>1190</v>
      </c>
      <c r="L451" t="s">
        <v>1620</v>
      </c>
      <c r="M451" t="s">
        <v>728</v>
      </c>
    </row>
    <row r="452" spans="1:13" x14ac:dyDescent="0.2">
      <c r="A452" s="15" t="s">
        <v>26</v>
      </c>
      <c r="B452" s="15" t="s">
        <v>668</v>
      </c>
      <c r="C452" s="13" t="s">
        <v>1575</v>
      </c>
      <c r="D452" s="13" t="s">
        <v>687</v>
      </c>
      <c r="J452" t="s">
        <v>26</v>
      </c>
      <c r="K452" t="s">
        <v>1191</v>
      </c>
      <c r="L452" t="s">
        <v>1621</v>
      </c>
      <c r="M452" t="s">
        <v>729</v>
      </c>
    </row>
    <row r="453" spans="1:13" x14ac:dyDescent="0.2">
      <c r="A453" s="15" t="s">
        <v>26</v>
      </c>
      <c r="B453" s="15" t="s">
        <v>669</v>
      </c>
      <c r="C453" s="13" t="s">
        <v>1576</v>
      </c>
      <c r="D453" s="13" t="s">
        <v>691</v>
      </c>
      <c r="J453" t="s">
        <v>26</v>
      </c>
      <c r="K453" t="s">
        <v>1192</v>
      </c>
      <c r="L453" t="s">
        <v>1622</v>
      </c>
      <c r="M453" t="s">
        <v>730</v>
      </c>
    </row>
    <row r="454" spans="1:13" x14ac:dyDescent="0.2">
      <c r="A454" s="15" t="s">
        <v>26</v>
      </c>
      <c r="B454" s="15" t="s">
        <v>670</v>
      </c>
      <c r="C454" s="13" t="s">
        <v>1577</v>
      </c>
      <c r="D454" s="13" t="s">
        <v>693</v>
      </c>
      <c r="J454" t="s">
        <v>25</v>
      </c>
      <c r="K454" t="s">
        <v>1204</v>
      </c>
      <c r="L454" t="s">
        <v>1625</v>
      </c>
      <c r="M454" t="s">
        <v>731</v>
      </c>
    </row>
    <row r="455" spans="1:13" x14ac:dyDescent="0.2">
      <c r="A455" s="15" t="s">
        <v>26</v>
      </c>
      <c r="B455" s="15" t="s">
        <v>671</v>
      </c>
      <c r="C455" s="13" t="s">
        <v>1578</v>
      </c>
      <c r="D455" s="13" t="s">
        <v>680</v>
      </c>
      <c r="J455" t="s">
        <v>25</v>
      </c>
      <c r="K455" t="s">
        <v>1199</v>
      </c>
      <c r="L455" t="s">
        <v>1623</v>
      </c>
      <c r="M455" t="s">
        <v>732</v>
      </c>
    </row>
    <row r="456" spans="1:13" x14ac:dyDescent="0.2">
      <c r="A456" s="15" t="s">
        <v>26</v>
      </c>
      <c r="B456" s="15" t="s">
        <v>672</v>
      </c>
      <c r="C456" s="13" t="s">
        <v>1579</v>
      </c>
      <c r="D456" s="13" t="s">
        <v>682</v>
      </c>
      <c r="J456" t="s">
        <v>25</v>
      </c>
      <c r="K456" t="s">
        <v>1200</v>
      </c>
      <c r="L456" t="s">
        <v>1624</v>
      </c>
      <c r="M456" t="s">
        <v>733</v>
      </c>
    </row>
    <row r="457" spans="1:13" x14ac:dyDescent="0.2">
      <c r="A457" s="15" t="s">
        <v>26</v>
      </c>
      <c r="B457" s="15" t="s">
        <v>673</v>
      </c>
      <c r="C457" s="13" t="s">
        <v>1580</v>
      </c>
      <c r="D457" s="13" t="s">
        <v>686</v>
      </c>
      <c r="J457" t="s">
        <v>25</v>
      </c>
      <c r="K457" t="s">
        <v>1201</v>
      </c>
      <c r="L457" t="s">
        <v>1626</v>
      </c>
      <c r="M457" t="s">
        <v>734</v>
      </c>
    </row>
    <row r="458" spans="1:13" x14ac:dyDescent="0.2">
      <c r="A458" s="15" t="s">
        <v>26</v>
      </c>
      <c r="B458" s="15" t="s">
        <v>674</v>
      </c>
      <c r="C458" s="13" t="s">
        <v>1581</v>
      </c>
      <c r="D458" s="13" t="s">
        <v>688</v>
      </c>
      <c r="J458" t="s">
        <v>25</v>
      </c>
      <c r="K458" t="s">
        <v>1202</v>
      </c>
      <c r="L458" t="s">
        <v>1627</v>
      </c>
      <c r="M458" t="s">
        <v>735</v>
      </c>
    </row>
    <row r="459" spans="1:13" x14ac:dyDescent="0.2">
      <c r="A459" s="15" t="s">
        <v>26</v>
      </c>
      <c r="B459" s="15" t="s">
        <v>675</v>
      </c>
      <c r="C459" s="13" t="s">
        <v>1585</v>
      </c>
      <c r="D459" s="13" t="s">
        <v>692</v>
      </c>
      <c r="J459" t="s">
        <v>25</v>
      </c>
      <c r="K459" t="s">
        <v>1203</v>
      </c>
      <c r="L459" t="s">
        <v>1628</v>
      </c>
      <c r="M459" t="s">
        <v>736</v>
      </c>
    </row>
    <row r="460" spans="1:13" x14ac:dyDescent="0.2">
      <c r="A460" s="15" t="s">
        <v>26</v>
      </c>
      <c r="B460" s="15" t="s">
        <v>676</v>
      </c>
      <c r="C460" s="13" t="s">
        <v>1586</v>
      </c>
      <c r="D460" s="13" t="s">
        <v>694</v>
      </c>
      <c r="J460" t="s">
        <v>25</v>
      </c>
      <c r="K460" t="s">
        <v>1205</v>
      </c>
      <c r="L460" t="s">
        <v>1629</v>
      </c>
      <c r="M460" t="s">
        <v>737</v>
      </c>
    </row>
    <row r="461" spans="1:13" x14ac:dyDescent="0.2">
      <c r="A461" s="15" t="s">
        <v>26</v>
      </c>
      <c r="B461" s="15" t="s">
        <v>526</v>
      </c>
      <c r="C461" s="13" t="s">
        <v>1470</v>
      </c>
      <c r="D461" s="13" t="s">
        <v>539</v>
      </c>
      <c r="J461" t="s">
        <v>25</v>
      </c>
      <c r="K461" t="s">
        <v>1206</v>
      </c>
      <c r="L461" t="s">
        <v>1630</v>
      </c>
      <c r="M461" t="s">
        <v>738</v>
      </c>
    </row>
    <row r="462" spans="1:13" x14ac:dyDescent="0.2">
      <c r="A462" s="15" t="s">
        <v>26</v>
      </c>
      <c r="B462" s="15" t="s">
        <v>527</v>
      </c>
      <c r="C462" s="13" t="s">
        <v>1465</v>
      </c>
      <c r="D462" s="13" t="s">
        <v>540</v>
      </c>
      <c r="J462" t="s">
        <v>25</v>
      </c>
      <c r="K462" t="s">
        <v>1207</v>
      </c>
      <c r="L462" t="s">
        <v>1631</v>
      </c>
      <c r="M462" t="s">
        <v>739</v>
      </c>
    </row>
    <row r="463" spans="1:13" x14ac:dyDescent="0.2">
      <c r="A463" s="15" t="s">
        <v>26</v>
      </c>
      <c r="B463" s="15" t="s">
        <v>528</v>
      </c>
      <c r="C463" s="13" t="s">
        <v>1466</v>
      </c>
      <c r="D463" s="13" t="s">
        <v>542</v>
      </c>
      <c r="J463" t="s">
        <v>25</v>
      </c>
      <c r="K463" t="s">
        <v>1208</v>
      </c>
      <c r="L463" t="s">
        <v>1632</v>
      </c>
      <c r="M463" t="s">
        <v>740</v>
      </c>
    </row>
    <row r="464" spans="1:13" x14ac:dyDescent="0.2">
      <c r="A464" s="15" t="s">
        <v>26</v>
      </c>
      <c r="B464" s="15" t="s">
        <v>529</v>
      </c>
      <c r="C464" s="13" t="s">
        <v>1467</v>
      </c>
      <c r="D464" s="13" t="s">
        <v>544</v>
      </c>
      <c r="J464" t="s">
        <v>25</v>
      </c>
      <c r="K464" t="s">
        <v>1209</v>
      </c>
      <c r="L464" t="s">
        <v>1633</v>
      </c>
      <c r="M464" t="s">
        <v>741</v>
      </c>
    </row>
    <row r="465" spans="1:13" x14ac:dyDescent="0.2">
      <c r="A465" s="15" t="s">
        <v>26</v>
      </c>
      <c r="B465" s="15" t="s">
        <v>530</v>
      </c>
      <c r="C465" s="13" t="s">
        <v>1468</v>
      </c>
      <c r="D465" s="13" t="s">
        <v>546</v>
      </c>
      <c r="J465" t="s">
        <v>25</v>
      </c>
      <c r="K465" t="s">
        <v>1210</v>
      </c>
      <c r="L465" t="s">
        <v>1634</v>
      </c>
      <c r="M465" t="s">
        <v>742</v>
      </c>
    </row>
    <row r="466" spans="1:13" x14ac:dyDescent="0.2">
      <c r="A466" s="15" t="s">
        <v>26</v>
      </c>
      <c r="B466" s="15" t="s">
        <v>531</v>
      </c>
      <c r="C466" s="13" t="s">
        <v>1469</v>
      </c>
      <c r="D466" s="13" t="s">
        <v>548</v>
      </c>
      <c r="J466" t="s">
        <v>25</v>
      </c>
      <c r="K466" t="s">
        <v>1211</v>
      </c>
      <c r="L466" t="s">
        <v>1635</v>
      </c>
      <c r="M466" t="s">
        <v>743</v>
      </c>
    </row>
    <row r="467" spans="1:13" x14ac:dyDescent="0.2">
      <c r="A467" s="15" t="s">
        <v>26</v>
      </c>
      <c r="B467" s="15" t="s">
        <v>426</v>
      </c>
      <c r="C467" s="13" t="s">
        <v>1419</v>
      </c>
      <c r="D467" s="13" t="s">
        <v>476</v>
      </c>
      <c r="J467" t="s">
        <v>25</v>
      </c>
      <c r="K467" t="s">
        <v>1212</v>
      </c>
      <c r="L467" t="s">
        <v>1636</v>
      </c>
      <c r="M467" t="s">
        <v>744</v>
      </c>
    </row>
    <row r="468" spans="1:13" x14ac:dyDescent="0.2">
      <c r="A468" s="15" t="s">
        <v>26</v>
      </c>
      <c r="B468" s="15" t="s">
        <v>427</v>
      </c>
      <c r="C468" s="13" t="s">
        <v>1420</v>
      </c>
      <c r="D468" s="13" t="s">
        <v>481</v>
      </c>
      <c r="J468" t="s">
        <v>25</v>
      </c>
      <c r="K468" t="s">
        <v>1213</v>
      </c>
      <c r="L468" t="s">
        <v>1637</v>
      </c>
      <c r="M468" t="s">
        <v>745</v>
      </c>
    </row>
    <row r="469" spans="1:13" x14ac:dyDescent="0.2">
      <c r="A469" s="15" t="s">
        <v>26</v>
      </c>
      <c r="B469" s="15" t="s">
        <v>428</v>
      </c>
      <c r="C469" s="13" t="s">
        <v>1421</v>
      </c>
      <c r="D469" s="13" t="s">
        <v>486</v>
      </c>
      <c r="J469" t="s">
        <v>25</v>
      </c>
      <c r="K469" t="s">
        <v>1214</v>
      </c>
      <c r="L469" t="s">
        <v>1638</v>
      </c>
      <c r="M469" t="s">
        <v>746</v>
      </c>
    </row>
    <row r="470" spans="1:13" x14ac:dyDescent="0.2">
      <c r="A470" s="15" t="s">
        <v>26</v>
      </c>
      <c r="B470" s="15" t="s">
        <v>429</v>
      </c>
      <c r="C470" s="13" t="s">
        <v>1422</v>
      </c>
      <c r="D470" s="13" t="s">
        <v>491</v>
      </c>
      <c r="J470" t="s">
        <v>25</v>
      </c>
      <c r="K470" t="s">
        <v>1215</v>
      </c>
      <c r="L470" t="s">
        <v>1639</v>
      </c>
      <c r="M470" t="s">
        <v>747</v>
      </c>
    </row>
    <row r="471" spans="1:13" x14ac:dyDescent="0.2">
      <c r="A471" s="15" t="s">
        <v>26</v>
      </c>
      <c r="B471" s="15" t="s">
        <v>430</v>
      </c>
      <c r="C471" s="13" t="s">
        <v>1423</v>
      </c>
      <c r="D471" s="13" t="s">
        <v>496</v>
      </c>
      <c r="J471" t="s">
        <v>25</v>
      </c>
      <c r="K471" t="s">
        <v>1216</v>
      </c>
      <c r="L471" t="s">
        <v>1640</v>
      </c>
      <c r="M471" t="s">
        <v>748</v>
      </c>
    </row>
    <row r="472" spans="1:13" x14ac:dyDescent="0.2">
      <c r="A472" s="15" t="s">
        <v>26</v>
      </c>
      <c r="B472" s="15" t="s">
        <v>431</v>
      </c>
      <c r="C472" s="13" t="s">
        <v>1424</v>
      </c>
      <c r="D472" s="13" t="s">
        <v>501</v>
      </c>
      <c r="J472" t="s">
        <v>26</v>
      </c>
      <c r="K472" t="s">
        <v>1204</v>
      </c>
      <c r="L472" t="s">
        <v>1641</v>
      </c>
      <c r="M472" t="s">
        <v>749</v>
      </c>
    </row>
    <row r="473" spans="1:13" x14ac:dyDescent="0.2">
      <c r="A473" s="15" t="s">
        <v>26</v>
      </c>
      <c r="B473" s="15" t="s">
        <v>662</v>
      </c>
      <c r="C473" s="13" t="s">
        <v>1569</v>
      </c>
      <c r="D473" s="13" t="s">
        <v>678</v>
      </c>
      <c r="J473" t="s">
        <v>26</v>
      </c>
      <c r="K473" t="s">
        <v>1199</v>
      </c>
      <c r="L473" t="s">
        <v>1642</v>
      </c>
      <c r="M473" t="s">
        <v>750</v>
      </c>
    </row>
    <row r="474" spans="1:13" x14ac:dyDescent="0.2">
      <c r="A474" s="15" t="s">
        <v>26</v>
      </c>
      <c r="B474" s="15" t="s">
        <v>663</v>
      </c>
      <c r="C474" s="13" t="s">
        <v>1570</v>
      </c>
      <c r="D474" s="13" t="s">
        <v>684</v>
      </c>
      <c r="J474" t="s">
        <v>26</v>
      </c>
      <c r="K474" t="s">
        <v>1200</v>
      </c>
      <c r="L474" t="s">
        <v>1643</v>
      </c>
      <c r="M474" t="s">
        <v>751</v>
      </c>
    </row>
    <row r="475" spans="1:13" x14ac:dyDescent="0.2">
      <c r="A475" s="15" t="s">
        <v>26</v>
      </c>
      <c r="B475" s="15" t="s">
        <v>664</v>
      </c>
      <c r="C475" s="13" t="s">
        <v>1571</v>
      </c>
      <c r="D475" s="13" t="s">
        <v>690</v>
      </c>
      <c r="J475" t="s">
        <v>26</v>
      </c>
      <c r="K475" t="s">
        <v>1201</v>
      </c>
      <c r="L475" t="s">
        <v>1644</v>
      </c>
      <c r="M475" t="s">
        <v>752</v>
      </c>
    </row>
    <row r="476" spans="1:13" x14ac:dyDescent="0.2">
      <c r="A476" s="15" t="s">
        <v>26</v>
      </c>
      <c r="B476" s="15" t="s">
        <v>659</v>
      </c>
      <c r="C476" s="13" t="s">
        <v>1568</v>
      </c>
      <c r="D476" s="13" t="s">
        <v>677</v>
      </c>
      <c r="J476" t="s">
        <v>26</v>
      </c>
      <c r="K476" t="s">
        <v>1202</v>
      </c>
      <c r="L476" t="s">
        <v>1645</v>
      </c>
      <c r="M476" t="s">
        <v>753</v>
      </c>
    </row>
    <row r="477" spans="1:13" x14ac:dyDescent="0.2">
      <c r="A477" s="15" t="s">
        <v>26</v>
      </c>
      <c r="B477" s="15" t="s">
        <v>660</v>
      </c>
      <c r="C477" s="13" t="s">
        <v>1566</v>
      </c>
      <c r="D477" s="13" t="s">
        <v>683</v>
      </c>
      <c r="J477" t="s">
        <v>26</v>
      </c>
      <c r="K477" t="s">
        <v>1203</v>
      </c>
      <c r="L477" t="s">
        <v>1646</v>
      </c>
      <c r="M477" t="s">
        <v>754</v>
      </c>
    </row>
    <row r="478" spans="1:13" x14ac:dyDescent="0.2">
      <c r="A478" s="15" t="s">
        <v>26</v>
      </c>
      <c r="B478" s="15" t="s">
        <v>661</v>
      </c>
      <c r="C478" s="13" t="s">
        <v>1567</v>
      </c>
      <c r="D478" s="13" t="s">
        <v>689</v>
      </c>
      <c r="J478" t="s">
        <v>26</v>
      </c>
      <c r="K478" t="s">
        <v>1205</v>
      </c>
      <c r="L478" t="s">
        <v>1647</v>
      </c>
      <c r="M478" t="s">
        <v>755</v>
      </c>
    </row>
    <row r="479" spans="1:13" x14ac:dyDescent="0.2">
      <c r="A479" s="15" t="s">
        <v>26</v>
      </c>
      <c r="B479" s="15" t="s">
        <v>1181</v>
      </c>
      <c r="C479" s="13" t="s">
        <v>1611</v>
      </c>
      <c r="D479" s="13" t="s">
        <v>719</v>
      </c>
      <c r="J479" t="s">
        <v>26</v>
      </c>
      <c r="K479" t="s">
        <v>1206</v>
      </c>
      <c r="L479" t="s">
        <v>1648</v>
      </c>
      <c r="M479" t="s">
        <v>756</v>
      </c>
    </row>
    <row r="480" spans="1:13" x14ac:dyDescent="0.2">
      <c r="A480" s="15" t="s">
        <v>26</v>
      </c>
      <c r="B480" s="15" t="s">
        <v>1182</v>
      </c>
      <c r="C480" s="13" t="s">
        <v>1612</v>
      </c>
      <c r="D480" s="13" t="s">
        <v>720</v>
      </c>
      <c r="J480" t="s">
        <v>26</v>
      </c>
      <c r="K480" t="s">
        <v>1207</v>
      </c>
      <c r="L480" t="s">
        <v>1649</v>
      </c>
      <c r="M480" t="s">
        <v>757</v>
      </c>
    </row>
    <row r="481" spans="1:13" x14ac:dyDescent="0.2">
      <c r="A481" s="15" t="s">
        <v>26</v>
      </c>
      <c r="B481" s="15" t="s">
        <v>1183</v>
      </c>
      <c r="C481" s="13" t="s">
        <v>1613</v>
      </c>
      <c r="D481" s="13" t="s">
        <v>721</v>
      </c>
      <c r="J481" t="s">
        <v>26</v>
      </c>
      <c r="K481" t="s">
        <v>1208</v>
      </c>
      <c r="L481" t="s">
        <v>1650</v>
      </c>
      <c r="M481" t="s">
        <v>758</v>
      </c>
    </row>
    <row r="482" spans="1:13" x14ac:dyDescent="0.2">
      <c r="A482" s="15" t="s">
        <v>26</v>
      </c>
      <c r="B482" s="15" t="s">
        <v>1184</v>
      </c>
      <c r="C482" s="13" t="s">
        <v>1614</v>
      </c>
      <c r="D482" s="13" t="s">
        <v>722</v>
      </c>
      <c r="J482" t="s">
        <v>26</v>
      </c>
      <c r="K482" t="s">
        <v>1209</v>
      </c>
      <c r="L482" t="s">
        <v>1651</v>
      </c>
      <c r="M482" t="s">
        <v>759</v>
      </c>
    </row>
    <row r="483" spans="1:13" x14ac:dyDescent="0.2">
      <c r="A483" s="15" t="s">
        <v>26</v>
      </c>
      <c r="B483" s="15" t="s">
        <v>1185</v>
      </c>
      <c r="C483" s="13" t="s">
        <v>1615</v>
      </c>
      <c r="D483" s="13" t="s">
        <v>723</v>
      </c>
      <c r="J483" t="s">
        <v>26</v>
      </c>
      <c r="K483" t="s">
        <v>1210</v>
      </c>
      <c r="L483" t="s">
        <v>1652</v>
      </c>
      <c r="M483" t="s">
        <v>760</v>
      </c>
    </row>
    <row r="484" spans="1:13" x14ac:dyDescent="0.2">
      <c r="A484" s="15" t="s">
        <v>26</v>
      </c>
      <c r="B484" s="15" t="s">
        <v>1186</v>
      </c>
      <c r="C484" s="13" t="s">
        <v>1616</v>
      </c>
      <c r="D484" s="13" t="s">
        <v>724</v>
      </c>
      <c r="J484" t="s">
        <v>26</v>
      </c>
      <c r="K484" t="s">
        <v>1211</v>
      </c>
      <c r="L484" t="s">
        <v>1653</v>
      </c>
      <c r="M484" t="s">
        <v>761</v>
      </c>
    </row>
    <row r="485" spans="1:13" x14ac:dyDescent="0.2">
      <c r="A485" s="15" t="s">
        <v>26</v>
      </c>
      <c r="B485" s="15" t="s">
        <v>1187</v>
      </c>
      <c r="C485" s="13" t="s">
        <v>1617</v>
      </c>
      <c r="D485" s="13" t="s">
        <v>725</v>
      </c>
      <c r="J485" t="s">
        <v>26</v>
      </c>
      <c r="K485" t="s">
        <v>1212</v>
      </c>
      <c r="L485" t="s">
        <v>1654</v>
      </c>
      <c r="M485" t="s">
        <v>762</v>
      </c>
    </row>
    <row r="486" spans="1:13" x14ac:dyDescent="0.2">
      <c r="A486" s="15" t="s">
        <v>26</v>
      </c>
      <c r="B486" s="15" t="s">
        <v>1188</v>
      </c>
      <c r="C486" s="13" t="s">
        <v>1618</v>
      </c>
      <c r="D486" s="13" t="s">
        <v>726</v>
      </c>
      <c r="J486" t="s">
        <v>26</v>
      </c>
      <c r="K486" t="s">
        <v>1213</v>
      </c>
      <c r="L486" t="s">
        <v>1655</v>
      </c>
      <c r="M486" t="s">
        <v>763</v>
      </c>
    </row>
    <row r="487" spans="1:13" x14ac:dyDescent="0.2">
      <c r="A487" s="15" t="s">
        <v>26</v>
      </c>
      <c r="B487" s="15" t="s">
        <v>1189</v>
      </c>
      <c r="C487" s="13" t="s">
        <v>1619</v>
      </c>
      <c r="D487" s="13" t="s">
        <v>727</v>
      </c>
      <c r="J487" t="s">
        <v>26</v>
      </c>
      <c r="K487" t="s">
        <v>1214</v>
      </c>
      <c r="L487" t="s">
        <v>1656</v>
      </c>
      <c r="M487" t="s">
        <v>764</v>
      </c>
    </row>
    <row r="488" spans="1:13" x14ac:dyDescent="0.2">
      <c r="A488" s="15" t="s">
        <v>26</v>
      </c>
      <c r="B488" s="15" t="s">
        <v>1190</v>
      </c>
      <c r="C488" s="13" t="s">
        <v>1620</v>
      </c>
      <c r="D488" s="13" t="s">
        <v>728</v>
      </c>
      <c r="J488" t="s">
        <v>26</v>
      </c>
      <c r="K488" t="s">
        <v>1215</v>
      </c>
      <c r="L488" t="s">
        <v>1657</v>
      </c>
      <c r="M488" t="s">
        <v>765</v>
      </c>
    </row>
    <row r="489" spans="1:13" x14ac:dyDescent="0.2">
      <c r="A489" s="15" t="s">
        <v>26</v>
      </c>
      <c r="B489" s="15" t="s">
        <v>1191</v>
      </c>
      <c r="C489" s="13" t="s">
        <v>1621</v>
      </c>
      <c r="D489" s="13" t="s">
        <v>729</v>
      </c>
      <c r="J489" t="s">
        <v>26</v>
      </c>
      <c r="K489" t="s">
        <v>1216</v>
      </c>
      <c r="L489" t="s">
        <v>1658</v>
      </c>
      <c r="M489" t="s">
        <v>766</v>
      </c>
    </row>
    <row r="490" spans="1:13" x14ac:dyDescent="0.2">
      <c r="A490" s="15" t="s">
        <v>26</v>
      </c>
      <c r="B490" s="15" t="s">
        <v>1192</v>
      </c>
      <c r="C490" s="13" t="s">
        <v>1622</v>
      </c>
      <c r="D490" s="13" t="s">
        <v>730</v>
      </c>
      <c r="J490" t="s">
        <v>25</v>
      </c>
      <c r="K490" t="s">
        <v>1222</v>
      </c>
      <c r="L490" t="s">
        <v>1661</v>
      </c>
      <c r="M490" t="s">
        <v>767</v>
      </c>
    </row>
    <row r="491" spans="1:13" x14ac:dyDescent="0.2">
      <c r="A491" s="15" t="s">
        <v>26</v>
      </c>
      <c r="B491" s="15" t="s">
        <v>432</v>
      </c>
      <c r="C491" s="13" t="s">
        <v>1425</v>
      </c>
      <c r="D491" s="13" t="s">
        <v>477</v>
      </c>
      <c r="J491" t="s">
        <v>25</v>
      </c>
      <c r="K491" t="s">
        <v>1217</v>
      </c>
      <c r="L491" t="s">
        <v>1659</v>
      </c>
      <c r="M491" t="s">
        <v>768</v>
      </c>
    </row>
    <row r="492" spans="1:13" x14ac:dyDescent="0.2">
      <c r="A492" s="15" t="s">
        <v>26</v>
      </c>
      <c r="B492" s="15" t="s">
        <v>433</v>
      </c>
      <c r="C492" s="13" t="s">
        <v>1426</v>
      </c>
      <c r="D492" s="13" t="s">
        <v>482</v>
      </c>
      <c r="J492" t="s">
        <v>25</v>
      </c>
      <c r="K492" t="s">
        <v>1218</v>
      </c>
      <c r="L492" t="s">
        <v>1660</v>
      </c>
      <c r="M492" t="s">
        <v>769</v>
      </c>
    </row>
    <row r="493" spans="1:13" x14ac:dyDescent="0.2">
      <c r="A493" s="15" t="s">
        <v>26</v>
      </c>
      <c r="B493" s="15" t="s">
        <v>434</v>
      </c>
      <c r="C493" s="13" t="s">
        <v>1427</v>
      </c>
      <c r="D493" s="13" t="s">
        <v>487</v>
      </c>
      <c r="J493" t="s">
        <v>25</v>
      </c>
      <c r="K493" t="s">
        <v>1219</v>
      </c>
      <c r="L493" t="s">
        <v>1662</v>
      </c>
      <c r="M493" t="s">
        <v>770</v>
      </c>
    </row>
    <row r="494" spans="1:13" x14ac:dyDescent="0.2">
      <c r="A494" s="15" t="s">
        <v>26</v>
      </c>
      <c r="B494" s="15" t="s">
        <v>435</v>
      </c>
      <c r="C494" s="13" t="s">
        <v>1428</v>
      </c>
      <c r="D494" s="13" t="s">
        <v>492</v>
      </c>
      <c r="J494" t="s">
        <v>25</v>
      </c>
      <c r="K494" t="s">
        <v>1220</v>
      </c>
      <c r="L494" t="s">
        <v>1663</v>
      </c>
      <c r="M494" t="s">
        <v>771</v>
      </c>
    </row>
    <row r="495" spans="1:13" x14ac:dyDescent="0.2">
      <c r="A495" s="15" t="s">
        <v>26</v>
      </c>
      <c r="B495" s="15" t="s">
        <v>436</v>
      </c>
      <c r="C495" s="13" t="s">
        <v>1429</v>
      </c>
      <c r="D495" s="13" t="s">
        <v>497</v>
      </c>
      <c r="J495" t="s">
        <v>25</v>
      </c>
      <c r="K495" t="s">
        <v>1221</v>
      </c>
      <c r="L495" t="s">
        <v>1664</v>
      </c>
      <c r="M495" t="s">
        <v>772</v>
      </c>
    </row>
    <row r="496" spans="1:13" x14ac:dyDescent="0.2">
      <c r="A496" s="15" t="s">
        <v>26</v>
      </c>
      <c r="B496" s="15" t="s">
        <v>437</v>
      </c>
      <c r="C496" s="13" t="s">
        <v>1430</v>
      </c>
      <c r="D496" s="13" t="s">
        <v>502</v>
      </c>
      <c r="J496" t="s">
        <v>25</v>
      </c>
      <c r="K496" t="s">
        <v>1223</v>
      </c>
      <c r="L496" t="s">
        <v>1665</v>
      </c>
      <c r="M496" t="s">
        <v>993</v>
      </c>
    </row>
    <row r="497" spans="1:13" x14ac:dyDescent="0.2">
      <c r="A497" s="15" t="s">
        <v>26</v>
      </c>
      <c r="B497" s="15" t="s">
        <v>1195</v>
      </c>
      <c r="C497" s="13" t="s">
        <v>1608</v>
      </c>
      <c r="D497" s="13" t="s">
        <v>716</v>
      </c>
      <c r="J497" t="s">
        <v>25</v>
      </c>
      <c r="K497" t="s">
        <v>1294</v>
      </c>
      <c r="L497" t="s">
        <v>1666</v>
      </c>
      <c r="M497" t="s">
        <v>994</v>
      </c>
    </row>
    <row r="498" spans="1:13" x14ac:dyDescent="0.2">
      <c r="A498" s="15" t="s">
        <v>26</v>
      </c>
      <c r="B498" s="15" t="s">
        <v>1196</v>
      </c>
      <c r="C498" s="13" t="s">
        <v>1609</v>
      </c>
      <c r="D498" s="13" t="s">
        <v>717</v>
      </c>
      <c r="J498" t="s">
        <v>25</v>
      </c>
      <c r="K498" t="s">
        <v>1295</v>
      </c>
      <c r="L498" t="s">
        <v>1667</v>
      </c>
      <c r="M498" t="s">
        <v>995</v>
      </c>
    </row>
    <row r="499" spans="1:13" x14ac:dyDescent="0.2">
      <c r="A499" s="15" t="s">
        <v>26</v>
      </c>
      <c r="B499" s="15" t="s">
        <v>1197</v>
      </c>
      <c r="C499" s="13" t="s">
        <v>1610</v>
      </c>
      <c r="D499" s="13" t="s">
        <v>718</v>
      </c>
      <c r="J499" t="s">
        <v>25</v>
      </c>
      <c r="K499" t="s">
        <v>1296</v>
      </c>
      <c r="L499" t="s">
        <v>1668</v>
      </c>
      <c r="M499" t="s">
        <v>996</v>
      </c>
    </row>
    <row r="500" spans="1:13" x14ac:dyDescent="0.2">
      <c r="A500" s="15" t="s">
        <v>26</v>
      </c>
      <c r="B500" s="15" t="s">
        <v>532</v>
      </c>
      <c r="C500" s="13" t="s">
        <v>1471</v>
      </c>
      <c r="D500" s="13" t="s">
        <v>538</v>
      </c>
      <c r="J500" t="s">
        <v>25</v>
      </c>
      <c r="K500" t="s">
        <v>1297</v>
      </c>
      <c r="L500" t="s">
        <v>1669</v>
      </c>
      <c r="M500" t="s">
        <v>997</v>
      </c>
    </row>
    <row r="501" spans="1:13" x14ac:dyDescent="0.2">
      <c r="A501" s="15" t="s">
        <v>26</v>
      </c>
      <c r="B501" s="15" t="s">
        <v>533</v>
      </c>
      <c r="C501" s="13" t="s">
        <v>1472</v>
      </c>
      <c r="D501" s="13" t="s">
        <v>541</v>
      </c>
      <c r="J501" t="s">
        <v>25</v>
      </c>
      <c r="K501" t="s">
        <v>1298</v>
      </c>
      <c r="L501" t="s">
        <v>1670</v>
      </c>
      <c r="M501" t="s">
        <v>998</v>
      </c>
    </row>
    <row r="502" spans="1:13" x14ac:dyDescent="0.2">
      <c r="A502" s="15" t="s">
        <v>26</v>
      </c>
      <c r="B502" s="15" t="s">
        <v>534</v>
      </c>
      <c r="C502" s="13" t="s">
        <v>1473</v>
      </c>
      <c r="D502" s="13" t="s">
        <v>543</v>
      </c>
      <c r="J502" t="s">
        <v>25</v>
      </c>
      <c r="K502" t="s">
        <v>1299</v>
      </c>
      <c r="L502" t="s">
        <v>1671</v>
      </c>
      <c r="M502" t="s">
        <v>999</v>
      </c>
    </row>
    <row r="503" spans="1:13" x14ac:dyDescent="0.2">
      <c r="A503" s="15" t="s">
        <v>26</v>
      </c>
      <c r="B503" s="15" t="s">
        <v>535</v>
      </c>
      <c r="C503" s="13" t="s">
        <v>1474</v>
      </c>
      <c r="D503" s="13" t="s">
        <v>545</v>
      </c>
      <c r="J503" t="s">
        <v>25</v>
      </c>
      <c r="K503" t="s">
        <v>1300</v>
      </c>
      <c r="L503" t="s">
        <v>1672</v>
      </c>
      <c r="M503" t="s">
        <v>1000</v>
      </c>
    </row>
    <row r="504" spans="1:13" x14ac:dyDescent="0.2">
      <c r="A504" s="15" t="s">
        <v>26</v>
      </c>
      <c r="B504" s="15" t="s">
        <v>536</v>
      </c>
      <c r="C504" s="13" t="s">
        <v>1475</v>
      </c>
      <c r="D504" s="13" t="s">
        <v>547</v>
      </c>
      <c r="J504" t="s">
        <v>25</v>
      </c>
      <c r="K504" t="s">
        <v>1301</v>
      </c>
      <c r="L504" t="s">
        <v>1673</v>
      </c>
      <c r="M504" t="s">
        <v>1001</v>
      </c>
    </row>
    <row r="505" spans="1:13" x14ac:dyDescent="0.2">
      <c r="A505" s="15" t="s">
        <v>26</v>
      </c>
      <c r="B505" s="15" t="s">
        <v>1198</v>
      </c>
      <c r="C505" s="13" t="s">
        <v>1605</v>
      </c>
      <c r="D505" s="13" t="s">
        <v>713</v>
      </c>
      <c r="J505" t="s">
        <v>25</v>
      </c>
      <c r="K505" t="s">
        <v>1302</v>
      </c>
      <c r="L505" t="s">
        <v>1674</v>
      </c>
      <c r="M505" t="s">
        <v>1002</v>
      </c>
    </row>
    <row r="506" spans="1:13" x14ac:dyDescent="0.2">
      <c r="A506" s="15" t="s">
        <v>26</v>
      </c>
      <c r="B506" s="15" t="s">
        <v>537</v>
      </c>
      <c r="C506" s="13" t="s">
        <v>1476</v>
      </c>
      <c r="D506" s="13" t="s">
        <v>549</v>
      </c>
      <c r="J506" t="s">
        <v>25</v>
      </c>
      <c r="K506" t="s">
        <v>1303</v>
      </c>
      <c r="L506" t="s">
        <v>1675</v>
      </c>
      <c r="M506" t="s">
        <v>1003</v>
      </c>
    </row>
    <row r="507" spans="1:13" x14ac:dyDescent="0.2">
      <c r="A507" s="15" t="s">
        <v>26</v>
      </c>
      <c r="B507" s="15" t="s">
        <v>438</v>
      </c>
      <c r="C507" s="13" t="s">
        <v>1433</v>
      </c>
      <c r="D507" s="13" t="s">
        <v>478</v>
      </c>
      <c r="J507" t="s">
        <v>25</v>
      </c>
      <c r="K507" t="s">
        <v>1304</v>
      </c>
      <c r="L507" t="s">
        <v>1676</v>
      </c>
      <c r="M507" t="s">
        <v>1004</v>
      </c>
    </row>
    <row r="508" spans="1:13" x14ac:dyDescent="0.2">
      <c r="A508" s="15" t="s">
        <v>26</v>
      </c>
      <c r="B508" s="15" t="s">
        <v>439</v>
      </c>
      <c r="C508" s="13" t="s">
        <v>1434</v>
      </c>
      <c r="D508" s="13" t="s">
        <v>483</v>
      </c>
      <c r="J508" t="s">
        <v>26</v>
      </c>
      <c r="K508" t="s">
        <v>1222</v>
      </c>
      <c r="L508" t="s">
        <v>1677</v>
      </c>
      <c r="M508" t="s">
        <v>1005</v>
      </c>
    </row>
    <row r="509" spans="1:13" x14ac:dyDescent="0.2">
      <c r="A509" s="15" t="s">
        <v>26</v>
      </c>
      <c r="B509" s="15" t="s">
        <v>440</v>
      </c>
      <c r="C509" s="13" t="s">
        <v>1435</v>
      </c>
      <c r="D509" s="13" t="s">
        <v>488</v>
      </c>
      <c r="J509" t="s">
        <v>26</v>
      </c>
      <c r="K509" t="s">
        <v>1217</v>
      </c>
      <c r="L509" t="s">
        <v>1678</v>
      </c>
      <c r="M509" t="s">
        <v>1006</v>
      </c>
    </row>
    <row r="510" spans="1:13" x14ac:dyDescent="0.2">
      <c r="A510" s="15" t="s">
        <v>26</v>
      </c>
      <c r="B510" s="15" t="s">
        <v>441</v>
      </c>
      <c r="C510" s="13" t="s">
        <v>1436</v>
      </c>
      <c r="D510" s="13" t="s">
        <v>493</v>
      </c>
      <c r="J510" t="s">
        <v>26</v>
      </c>
      <c r="K510" t="s">
        <v>1218</v>
      </c>
      <c r="L510" t="s">
        <v>1679</v>
      </c>
      <c r="M510" t="s">
        <v>1007</v>
      </c>
    </row>
    <row r="511" spans="1:13" x14ac:dyDescent="0.2">
      <c r="A511" s="15" t="s">
        <v>26</v>
      </c>
      <c r="B511" s="15" t="s">
        <v>442</v>
      </c>
      <c r="C511" s="13" t="s">
        <v>1437</v>
      </c>
      <c r="D511" s="13" t="s">
        <v>498</v>
      </c>
      <c r="J511" t="s">
        <v>26</v>
      </c>
      <c r="K511" t="s">
        <v>1219</v>
      </c>
      <c r="L511" t="s">
        <v>1680</v>
      </c>
      <c r="M511" t="s">
        <v>1008</v>
      </c>
    </row>
    <row r="512" spans="1:13" x14ac:dyDescent="0.2">
      <c r="A512" s="15" t="s">
        <v>26</v>
      </c>
      <c r="B512" s="15" t="s">
        <v>443</v>
      </c>
      <c r="C512" s="13" t="s">
        <v>1438</v>
      </c>
      <c r="D512" s="13" t="s">
        <v>503</v>
      </c>
      <c r="J512" t="s">
        <v>26</v>
      </c>
      <c r="K512" t="s">
        <v>1220</v>
      </c>
      <c r="L512" t="s">
        <v>1681</v>
      </c>
      <c r="M512" t="s">
        <v>1009</v>
      </c>
    </row>
    <row r="513" spans="1:13" x14ac:dyDescent="0.2">
      <c r="A513" s="15" t="s">
        <v>26</v>
      </c>
      <c r="B513" s="15" t="s">
        <v>1193</v>
      </c>
      <c r="C513" s="13" t="s">
        <v>1606</v>
      </c>
      <c r="D513" s="13" t="s">
        <v>714</v>
      </c>
      <c r="J513" t="s">
        <v>26</v>
      </c>
      <c r="K513" t="s">
        <v>1221</v>
      </c>
      <c r="L513" t="s">
        <v>1682</v>
      </c>
      <c r="M513" t="s">
        <v>1010</v>
      </c>
    </row>
    <row r="514" spans="1:13" x14ac:dyDescent="0.2">
      <c r="A514" s="15" t="s">
        <v>26</v>
      </c>
      <c r="B514" s="15" t="s">
        <v>1194</v>
      </c>
      <c r="C514" s="13" t="s">
        <v>1607</v>
      </c>
      <c r="D514" s="13" t="s">
        <v>715</v>
      </c>
      <c r="J514" t="s">
        <v>26</v>
      </c>
      <c r="K514" t="s">
        <v>1223</v>
      </c>
      <c r="L514" t="s">
        <v>1683</v>
      </c>
      <c r="M514" t="s">
        <v>1011</v>
      </c>
    </row>
    <row r="515" spans="1:13" x14ac:dyDescent="0.2">
      <c r="A515" s="15" t="s">
        <v>26</v>
      </c>
      <c r="B515" s="15" t="s">
        <v>1205</v>
      </c>
      <c r="C515" s="13" t="s">
        <v>1647</v>
      </c>
      <c r="D515" s="13" t="s">
        <v>755</v>
      </c>
      <c r="J515" t="s">
        <v>26</v>
      </c>
      <c r="K515" t="s">
        <v>1294</v>
      </c>
      <c r="L515" t="s">
        <v>1684</v>
      </c>
      <c r="M515" t="s">
        <v>1012</v>
      </c>
    </row>
    <row r="516" spans="1:13" x14ac:dyDescent="0.2">
      <c r="A516" s="15" t="s">
        <v>26</v>
      </c>
      <c r="B516" s="15" t="s">
        <v>1206</v>
      </c>
      <c r="C516" s="13" t="s">
        <v>1648</v>
      </c>
      <c r="D516" s="13" t="s">
        <v>756</v>
      </c>
      <c r="J516" t="s">
        <v>26</v>
      </c>
      <c r="K516" t="s">
        <v>1295</v>
      </c>
      <c r="L516" t="s">
        <v>1685</v>
      </c>
      <c r="M516" t="s">
        <v>1013</v>
      </c>
    </row>
    <row r="517" spans="1:13" x14ac:dyDescent="0.2">
      <c r="A517" s="15" t="s">
        <v>26</v>
      </c>
      <c r="B517" s="15" t="s">
        <v>1207</v>
      </c>
      <c r="C517" s="13" t="s">
        <v>1649</v>
      </c>
      <c r="D517" s="13" t="s">
        <v>757</v>
      </c>
      <c r="J517" t="s">
        <v>26</v>
      </c>
      <c r="K517" t="s">
        <v>1296</v>
      </c>
      <c r="L517" t="s">
        <v>1686</v>
      </c>
      <c r="M517" t="s">
        <v>1014</v>
      </c>
    </row>
    <row r="518" spans="1:13" x14ac:dyDescent="0.2">
      <c r="A518" s="15" t="s">
        <v>26</v>
      </c>
      <c r="B518" s="15" t="s">
        <v>1208</v>
      </c>
      <c r="C518" s="13" t="s">
        <v>1650</v>
      </c>
      <c r="D518" s="13" t="s">
        <v>758</v>
      </c>
      <c r="J518" t="s">
        <v>26</v>
      </c>
      <c r="K518" t="s">
        <v>1297</v>
      </c>
      <c r="L518" t="s">
        <v>1687</v>
      </c>
      <c r="M518" t="s">
        <v>1015</v>
      </c>
    </row>
    <row r="519" spans="1:13" x14ac:dyDescent="0.2">
      <c r="A519" s="15" t="s">
        <v>26</v>
      </c>
      <c r="B519" s="15" t="s">
        <v>1209</v>
      </c>
      <c r="C519" s="13" t="s">
        <v>1651</v>
      </c>
      <c r="D519" s="13" t="s">
        <v>759</v>
      </c>
      <c r="J519" t="s">
        <v>26</v>
      </c>
      <c r="K519" t="s">
        <v>1298</v>
      </c>
      <c r="L519" t="s">
        <v>1688</v>
      </c>
      <c r="M519" t="s">
        <v>1016</v>
      </c>
    </row>
    <row r="520" spans="1:13" x14ac:dyDescent="0.2">
      <c r="A520" s="15" t="s">
        <v>26</v>
      </c>
      <c r="B520" s="15" t="s">
        <v>1210</v>
      </c>
      <c r="C520" s="13" t="s">
        <v>1652</v>
      </c>
      <c r="D520" s="13" t="s">
        <v>760</v>
      </c>
      <c r="J520" t="s">
        <v>26</v>
      </c>
      <c r="K520" t="s">
        <v>1299</v>
      </c>
      <c r="L520" t="s">
        <v>1689</v>
      </c>
      <c r="M520" t="s">
        <v>1017</v>
      </c>
    </row>
    <row r="521" spans="1:13" x14ac:dyDescent="0.2">
      <c r="A521" s="15" t="s">
        <v>26</v>
      </c>
      <c r="B521" s="15" t="s">
        <v>1211</v>
      </c>
      <c r="C521" s="13" t="s">
        <v>1653</v>
      </c>
      <c r="D521" s="13" t="s">
        <v>761</v>
      </c>
      <c r="J521" t="s">
        <v>26</v>
      </c>
      <c r="K521" t="s">
        <v>1300</v>
      </c>
      <c r="L521" t="s">
        <v>1690</v>
      </c>
      <c r="M521" t="s">
        <v>1018</v>
      </c>
    </row>
    <row r="522" spans="1:13" x14ac:dyDescent="0.2">
      <c r="A522" s="15" t="s">
        <v>26</v>
      </c>
      <c r="B522" s="15" t="s">
        <v>1212</v>
      </c>
      <c r="C522" s="13" t="s">
        <v>1654</v>
      </c>
      <c r="D522" s="13" t="s">
        <v>762</v>
      </c>
      <c r="J522" t="s">
        <v>26</v>
      </c>
      <c r="K522" t="s">
        <v>1301</v>
      </c>
      <c r="L522" t="s">
        <v>1691</v>
      </c>
      <c r="M522" t="s">
        <v>1019</v>
      </c>
    </row>
    <row r="523" spans="1:13" x14ac:dyDescent="0.2">
      <c r="A523" s="15" t="s">
        <v>26</v>
      </c>
      <c r="B523" s="15" t="s">
        <v>1213</v>
      </c>
      <c r="C523" s="13" t="s">
        <v>1655</v>
      </c>
      <c r="D523" s="13" t="s">
        <v>763</v>
      </c>
      <c r="J523" t="s">
        <v>26</v>
      </c>
      <c r="K523" t="s">
        <v>1302</v>
      </c>
      <c r="L523" t="s">
        <v>1692</v>
      </c>
      <c r="M523" t="s">
        <v>1020</v>
      </c>
    </row>
    <row r="524" spans="1:13" x14ac:dyDescent="0.2">
      <c r="A524" s="15" t="s">
        <v>26</v>
      </c>
      <c r="B524" s="15" t="s">
        <v>1214</v>
      </c>
      <c r="C524" s="13" t="s">
        <v>1656</v>
      </c>
      <c r="D524" s="13" t="s">
        <v>764</v>
      </c>
      <c r="J524" t="s">
        <v>26</v>
      </c>
      <c r="K524" t="s">
        <v>1303</v>
      </c>
      <c r="L524" t="s">
        <v>1693</v>
      </c>
      <c r="M524" t="s">
        <v>1021</v>
      </c>
    </row>
    <row r="525" spans="1:13" x14ac:dyDescent="0.2">
      <c r="A525" s="15" t="s">
        <v>26</v>
      </c>
      <c r="B525" s="15" t="s">
        <v>1215</v>
      </c>
      <c r="C525" s="13" t="s">
        <v>1657</v>
      </c>
      <c r="D525" s="13" t="s">
        <v>765</v>
      </c>
      <c r="J525" t="s">
        <v>26</v>
      </c>
      <c r="K525" t="s">
        <v>1304</v>
      </c>
      <c r="L525" t="s">
        <v>1694</v>
      </c>
      <c r="M525" t="s">
        <v>1022</v>
      </c>
    </row>
    <row r="526" spans="1:13" x14ac:dyDescent="0.2">
      <c r="A526" s="15" t="s">
        <v>26</v>
      </c>
      <c r="B526" s="15" t="s">
        <v>1216</v>
      </c>
      <c r="C526" s="13" t="s">
        <v>1658</v>
      </c>
      <c r="D526" s="13" t="s">
        <v>766</v>
      </c>
      <c r="J526" t="s">
        <v>25</v>
      </c>
      <c r="K526" t="s">
        <v>1305</v>
      </c>
      <c r="L526" t="s">
        <v>1701</v>
      </c>
      <c r="M526" t="s">
        <v>1023</v>
      </c>
    </row>
    <row r="527" spans="1:13" x14ac:dyDescent="0.2">
      <c r="A527" s="15" t="s">
        <v>26</v>
      </c>
      <c r="B527" s="15" t="s">
        <v>1201</v>
      </c>
      <c r="C527" s="13" t="s">
        <v>1644</v>
      </c>
      <c r="D527" s="13" t="s">
        <v>752</v>
      </c>
      <c r="J527" t="s">
        <v>25</v>
      </c>
      <c r="K527" t="s">
        <v>1306</v>
      </c>
      <c r="L527" t="s">
        <v>1699</v>
      </c>
      <c r="M527" t="s">
        <v>1024</v>
      </c>
    </row>
    <row r="528" spans="1:13" x14ac:dyDescent="0.2">
      <c r="A528" s="15" t="s">
        <v>26</v>
      </c>
      <c r="B528" s="15" t="s">
        <v>1202</v>
      </c>
      <c r="C528" s="13" t="s">
        <v>1645</v>
      </c>
      <c r="D528" s="13" t="s">
        <v>753</v>
      </c>
      <c r="J528" t="s">
        <v>25</v>
      </c>
      <c r="K528" t="s">
        <v>1307</v>
      </c>
      <c r="L528" t="s">
        <v>1700</v>
      </c>
      <c r="M528" t="s">
        <v>1025</v>
      </c>
    </row>
    <row r="529" spans="1:13" x14ac:dyDescent="0.2">
      <c r="A529" s="15" t="s">
        <v>26</v>
      </c>
      <c r="B529" s="15" t="s">
        <v>1203</v>
      </c>
      <c r="C529" s="13" t="s">
        <v>1646</v>
      </c>
      <c r="D529" s="13" t="s">
        <v>754</v>
      </c>
      <c r="J529" t="s">
        <v>25</v>
      </c>
      <c r="K529" t="s">
        <v>1308</v>
      </c>
      <c r="L529" t="s">
        <v>1702</v>
      </c>
      <c r="M529" t="s">
        <v>1026</v>
      </c>
    </row>
    <row r="530" spans="1:13" x14ac:dyDescent="0.2">
      <c r="A530" s="15" t="s">
        <v>26</v>
      </c>
      <c r="B530" s="15" t="s">
        <v>1204</v>
      </c>
      <c r="C530" s="13" t="s">
        <v>1641</v>
      </c>
      <c r="D530" s="13" t="s">
        <v>749</v>
      </c>
      <c r="J530" t="s">
        <v>25</v>
      </c>
      <c r="K530" t="s">
        <v>1309</v>
      </c>
      <c r="L530" t="s">
        <v>1703</v>
      </c>
      <c r="M530" t="s">
        <v>1027</v>
      </c>
    </row>
    <row r="531" spans="1:13" x14ac:dyDescent="0.2">
      <c r="A531" s="15" t="s">
        <v>26</v>
      </c>
      <c r="B531" s="15" t="s">
        <v>1199</v>
      </c>
      <c r="C531" s="13" t="s">
        <v>1642</v>
      </c>
      <c r="D531" s="13" t="s">
        <v>750</v>
      </c>
      <c r="J531" t="s">
        <v>25</v>
      </c>
      <c r="K531" t="s">
        <v>1310</v>
      </c>
      <c r="L531" t="s">
        <v>1704</v>
      </c>
      <c r="M531" t="s">
        <v>1028</v>
      </c>
    </row>
    <row r="532" spans="1:13" x14ac:dyDescent="0.2">
      <c r="A532" s="15" t="s">
        <v>26</v>
      </c>
      <c r="B532" s="15" t="s">
        <v>1200</v>
      </c>
      <c r="C532" s="13" t="s">
        <v>1643</v>
      </c>
      <c r="D532" s="13" t="s">
        <v>751</v>
      </c>
      <c r="J532" t="s">
        <v>25</v>
      </c>
      <c r="K532" t="s">
        <v>1311</v>
      </c>
      <c r="L532" t="s">
        <v>1705</v>
      </c>
      <c r="M532" t="s">
        <v>1029</v>
      </c>
    </row>
    <row r="533" spans="1:13" x14ac:dyDescent="0.2">
      <c r="A533" s="15" t="s">
        <v>26</v>
      </c>
      <c r="B533" s="15" t="s">
        <v>1223</v>
      </c>
      <c r="C533" s="13" t="s">
        <v>1683</v>
      </c>
      <c r="D533" s="13" t="s">
        <v>1011</v>
      </c>
      <c r="J533" t="s">
        <v>25</v>
      </c>
      <c r="K533" t="s">
        <v>1312</v>
      </c>
      <c r="L533" t="s">
        <v>1706</v>
      </c>
      <c r="M533" t="s">
        <v>1030</v>
      </c>
    </row>
    <row r="534" spans="1:13" x14ac:dyDescent="0.2">
      <c r="A534" s="15" t="s">
        <v>26</v>
      </c>
      <c r="B534" s="15" t="s">
        <v>1294</v>
      </c>
      <c r="C534" s="13" t="s">
        <v>1684</v>
      </c>
      <c r="D534" s="13" t="s">
        <v>1012</v>
      </c>
      <c r="J534" t="s">
        <v>25</v>
      </c>
      <c r="K534" t="s">
        <v>1313</v>
      </c>
      <c r="L534" t="s">
        <v>1707</v>
      </c>
      <c r="M534" t="s">
        <v>1031</v>
      </c>
    </row>
    <row r="535" spans="1:13" x14ac:dyDescent="0.2">
      <c r="A535" s="15" t="s">
        <v>26</v>
      </c>
      <c r="B535" s="15" t="s">
        <v>1295</v>
      </c>
      <c r="C535" s="13" t="s">
        <v>1685</v>
      </c>
      <c r="D535" s="13" t="s">
        <v>1013</v>
      </c>
      <c r="J535" t="s">
        <v>25</v>
      </c>
      <c r="K535" t="s">
        <v>1314</v>
      </c>
      <c r="L535" t="s">
        <v>1708</v>
      </c>
      <c r="M535" t="s">
        <v>1032</v>
      </c>
    </row>
    <row r="536" spans="1:13" x14ac:dyDescent="0.2">
      <c r="A536" s="15" t="s">
        <v>26</v>
      </c>
      <c r="B536" s="15" t="s">
        <v>1296</v>
      </c>
      <c r="C536" s="13" t="s">
        <v>1686</v>
      </c>
      <c r="D536" s="13" t="s">
        <v>1014</v>
      </c>
      <c r="J536" t="s">
        <v>25</v>
      </c>
      <c r="K536" t="s">
        <v>1315</v>
      </c>
      <c r="L536" t="s">
        <v>1709</v>
      </c>
      <c r="M536" t="s">
        <v>1033</v>
      </c>
    </row>
    <row r="537" spans="1:13" x14ac:dyDescent="0.2">
      <c r="A537" s="15" t="s">
        <v>26</v>
      </c>
      <c r="B537" s="15" t="s">
        <v>1297</v>
      </c>
      <c r="C537" s="13" t="s">
        <v>1687</v>
      </c>
      <c r="D537" s="13" t="s">
        <v>1015</v>
      </c>
      <c r="J537" t="s">
        <v>25</v>
      </c>
      <c r="K537" t="s">
        <v>1316</v>
      </c>
      <c r="L537" t="s">
        <v>1710</v>
      </c>
      <c r="M537" t="s">
        <v>1034</v>
      </c>
    </row>
    <row r="538" spans="1:13" x14ac:dyDescent="0.2">
      <c r="A538" s="15" t="s">
        <v>26</v>
      </c>
      <c r="B538" s="15" t="s">
        <v>1298</v>
      </c>
      <c r="C538" s="13" t="s">
        <v>1688</v>
      </c>
      <c r="D538" s="13" t="s">
        <v>1016</v>
      </c>
      <c r="J538" t="s">
        <v>25</v>
      </c>
      <c r="K538" t="s">
        <v>1317</v>
      </c>
      <c r="L538" t="s">
        <v>1711</v>
      </c>
      <c r="M538" t="s">
        <v>1035</v>
      </c>
    </row>
    <row r="539" spans="1:13" x14ac:dyDescent="0.2">
      <c r="A539" s="15" t="s">
        <v>26</v>
      </c>
      <c r="B539" s="15" t="s">
        <v>1299</v>
      </c>
      <c r="C539" s="13" t="s">
        <v>1689</v>
      </c>
      <c r="D539" s="13" t="s">
        <v>1017</v>
      </c>
      <c r="J539" t="s">
        <v>25</v>
      </c>
      <c r="K539" t="s">
        <v>1318</v>
      </c>
      <c r="L539" t="s">
        <v>1712</v>
      </c>
      <c r="M539" t="s">
        <v>1036</v>
      </c>
    </row>
    <row r="540" spans="1:13" x14ac:dyDescent="0.2">
      <c r="A540" s="15" t="s">
        <v>26</v>
      </c>
      <c r="B540" s="15" t="s">
        <v>1300</v>
      </c>
      <c r="C540" s="13" t="s">
        <v>1690</v>
      </c>
      <c r="D540" s="13" t="s">
        <v>1018</v>
      </c>
      <c r="J540" t="s">
        <v>25</v>
      </c>
      <c r="K540" t="s">
        <v>1319</v>
      </c>
      <c r="L540" t="s">
        <v>1713</v>
      </c>
      <c r="M540" t="s">
        <v>1037</v>
      </c>
    </row>
    <row r="541" spans="1:13" x14ac:dyDescent="0.2">
      <c r="A541" s="15" t="s">
        <v>26</v>
      </c>
      <c r="B541" s="15" t="s">
        <v>1301</v>
      </c>
      <c r="C541" s="13" t="s">
        <v>1691</v>
      </c>
      <c r="D541" s="13" t="s">
        <v>1019</v>
      </c>
      <c r="J541" t="s">
        <v>25</v>
      </c>
      <c r="K541" t="s">
        <v>1320</v>
      </c>
      <c r="L541" t="s">
        <v>1714</v>
      </c>
      <c r="M541" t="s">
        <v>1038</v>
      </c>
    </row>
    <row r="542" spans="1:13" x14ac:dyDescent="0.2">
      <c r="A542" s="15" t="s">
        <v>26</v>
      </c>
      <c r="B542" s="15" t="s">
        <v>1302</v>
      </c>
      <c r="C542" s="13" t="s">
        <v>1692</v>
      </c>
      <c r="D542" s="13" t="s">
        <v>1020</v>
      </c>
      <c r="J542" t="s">
        <v>25</v>
      </c>
      <c r="K542" t="s">
        <v>1321</v>
      </c>
      <c r="L542" t="s">
        <v>1715</v>
      </c>
      <c r="M542" t="s">
        <v>1039</v>
      </c>
    </row>
    <row r="543" spans="1:13" x14ac:dyDescent="0.2">
      <c r="A543" s="15" t="s">
        <v>26</v>
      </c>
      <c r="B543" s="15" t="s">
        <v>1303</v>
      </c>
      <c r="C543" s="13" t="s">
        <v>1693</v>
      </c>
      <c r="D543" s="13" t="s">
        <v>1021</v>
      </c>
      <c r="J543" t="s">
        <v>25</v>
      </c>
      <c r="K543" t="s">
        <v>1322</v>
      </c>
      <c r="L543" t="s">
        <v>1716</v>
      </c>
      <c r="M543" t="s">
        <v>1040</v>
      </c>
    </row>
    <row r="544" spans="1:13" x14ac:dyDescent="0.2">
      <c r="A544" s="15" t="s">
        <v>26</v>
      </c>
      <c r="B544" s="15" t="s">
        <v>1304</v>
      </c>
      <c r="C544" s="13" t="s">
        <v>1694</v>
      </c>
      <c r="D544" s="13" t="s">
        <v>1022</v>
      </c>
      <c r="J544" t="s">
        <v>26</v>
      </c>
      <c r="K544" t="s">
        <v>1305</v>
      </c>
      <c r="L544" t="s">
        <v>1717</v>
      </c>
      <c r="M544" t="s">
        <v>1041</v>
      </c>
    </row>
    <row r="545" spans="1:13" x14ac:dyDescent="0.2">
      <c r="A545" s="15" t="s">
        <v>26</v>
      </c>
      <c r="B545" s="15" t="s">
        <v>316</v>
      </c>
      <c r="C545" s="13" t="s">
        <v>2028</v>
      </c>
      <c r="D545" s="13" t="s">
        <v>340</v>
      </c>
      <c r="J545" t="s">
        <v>26</v>
      </c>
      <c r="K545" t="s">
        <v>1306</v>
      </c>
      <c r="L545" t="s">
        <v>1718</v>
      </c>
      <c r="M545" t="s">
        <v>1042</v>
      </c>
    </row>
    <row r="546" spans="1:13" x14ac:dyDescent="0.2">
      <c r="A546" s="15" t="s">
        <v>26</v>
      </c>
      <c r="B546" s="15" t="s">
        <v>317</v>
      </c>
      <c r="C546" s="13" t="s">
        <v>2024</v>
      </c>
      <c r="D546" s="13" t="s">
        <v>344</v>
      </c>
      <c r="J546" t="s">
        <v>26</v>
      </c>
      <c r="K546" t="s">
        <v>1307</v>
      </c>
      <c r="L546" t="s">
        <v>1719</v>
      </c>
      <c r="M546" t="s">
        <v>1043</v>
      </c>
    </row>
    <row r="547" spans="1:13" x14ac:dyDescent="0.2">
      <c r="A547" s="15" t="s">
        <v>26</v>
      </c>
      <c r="B547" s="15" t="s">
        <v>318</v>
      </c>
      <c r="C547" s="13" t="s">
        <v>2025</v>
      </c>
      <c r="D547" s="13" t="s">
        <v>348</v>
      </c>
      <c r="J547" t="s">
        <v>26</v>
      </c>
      <c r="K547" t="s">
        <v>1308</v>
      </c>
      <c r="L547" t="s">
        <v>1720</v>
      </c>
      <c r="M547" t="s">
        <v>1044</v>
      </c>
    </row>
    <row r="548" spans="1:13" x14ac:dyDescent="0.2">
      <c r="A548" s="15" t="s">
        <v>26</v>
      </c>
      <c r="B548" s="15" t="s">
        <v>319</v>
      </c>
      <c r="C548" s="13" t="s">
        <v>1897</v>
      </c>
      <c r="D548" s="13" t="s">
        <v>352</v>
      </c>
      <c r="J548" t="s">
        <v>26</v>
      </c>
      <c r="K548" t="s">
        <v>1309</v>
      </c>
      <c r="L548" t="s">
        <v>1721</v>
      </c>
      <c r="M548" t="s">
        <v>1045</v>
      </c>
    </row>
    <row r="549" spans="1:13" x14ac:dyDescent="0.2">
      <c r="A549" s="15" t="s">
        <v>26</v>
      </c>
      <c r="B549" s="15" t="s">
        <v>320</v>
      </c>
      <c r="C549" s="13" t="s">
        <v>2026</v>
      </c>
      <c r="D549" s="13" t="s">
        <v>356</v>
      </c>
      <c r="J549" t="s">
        <v>26</v>
      </c>
      <c r="K549" t="s">
        <v>1310</v>
      </c>
      <c r="L549" t="s">
        <v>1722</v>
      </c>
      <c r="M549" t="s">
        <v>1046</v>
      </c>
    </row>
    <row r="550" spans="1:13" x14ac:dyDescent="0.2">
      <c r="A550" s="15" t="s">
        <v>26</v>
      </c>
      <c r="B550" s="15" t="s">
        <v>321</v>
      </c>
      <c r="C550" s="13" t="s">
        <v>2027</v>
      </c>
      <c r="D550" s="13" t="s">
        <v>360</v>
      </c>
      <c r="J550" t="s">
        <v>26</v>
      </c>
      <c r="K550" t="s">
        <v>1311</v>
      </c>
      <c r="L550" t="s">
        <v>1723</v>
      </c>
      <c r="M550" t="s">
        <v>1047</v>
      </c>
    </row>
    <row r="551" spans="1:13" x14ac:dyDescent="0.2">
      <c r="A551" s="15" t="s">
        <v>26</v>
      </c>
      <c r="B551" s="15" t="s">
        <v>1219</v>
      </c>
      <c r="C551" s="13" t="s">
        <v>1680</v>
      </c>
      <c r="D551" s="13" t="s">
        <v>1008</v>
      </c>
      <c r="J551" t="s">
        <v>26</v>
      </c>
      <c r="K551" t="s">
        <v>1312</v>
      </c>
      <c r="L551" t="s">
        <v>1724</v>
      </c>
      <c r="M551" t="s">
        <v>1048</v>
      </c>
    </row>
    <row r="552" spans="1:13" x14ac:dyDescent="0.2">
      <c r="A552" s="15" t="s">
        <v>26</v>
      </c>
      <c r="B552" s="15" t="s">
        <v>1220</v>
      </c>
      <c r="C552" s="13" t="s">
        <v>1681</v>
      </c>
      <c r="D552" s="13" t="s">
        <v>1009</v>
      </c>
      <c r="J552" t="s">
        <v>26</v>
      </c>
      <c r="K552" t="s">
        <v>1313</v>
      </c>
      <c r="L552" t="s">
        <v>1725</v>
      </c>
      <c r="M552" t="s">
        <v>1049</v>
      </c>
    </row>
    <row r="553" spans="1:13" x14ac:dyDescent="0.2">
      <c r="A553" s="15" t="s">
        <v>26</v>
      </c>
      <c r="B553" s="15" t="s">
        <v>1221</v>
      </c>
      <c r="C553" s="13" t="s">
        <v>1682</v>
      </c>
      <c r="D553" s="13" t="s">
        <v>1010</v>
      </c>
      <c r="J553" t="s">
        <v>26</v>
      </c>
      <c r="K553" t="s">
        <v>1314</v>
      </c>
      <c r="L553" t="s">
        <v>1726</v>
      </c>
      <c r="M553" t="s">
        <v>1050</v>
      </c>
    </row>
    <row r="554" spans="1:13" x14ac:dyDescent="0.2">
      <c r="A554" s="15" t="s">
        <v>26</v>
      </c>
      <c r="B554" s="15" t="s">
        <v>322</v>
      </c>
      <c r="C554" s="13" t="s">
        <v>2029</v>
      </c>
      <c r="D554" s="13" t="s">
        <v>341</v>
      </c>
      <c r="J554" t="s">
        <v>26</v>
      </c>
      <c r="K554" t="s">
        <v>1315</v>
      </c>
      <c r="L554" t="s">
        <v>1727</v>
      </c>
      <c r="M554" t="s">
        <v>1051</v>
      </c>
    </row>
    <row r="555" spans="1:13" x14ac:dyDescent="0.2">
      <c r="A555" s="15" t="s">
        <v>26</v>
      </c>
      <c r="B555" s="15" t="s">
        <v>323</v>
      </c>
      <c r="C555" s="13" t="s">
        <v>2030</v>
      </c>
      <c r="D555" s="13" t="s">
        <v>345</v>
      </c>
      <c r="J555" t="s">
        <v>26</v>
      </c>
      <c r="K555" t="s">
        <v>1316</v>
      </c>
      <c r="L555" t="s">
        <v>1728</v>
      </c>
      <c r="M555" t="s">
        <v>1052</v>
      </c>
    </row>
    <row r="556" spans="1:13" x14ac:dyDescent="0.2">
      <c r="A556" s="15" t="s">
        <v>26</v>
      </c>
      <c r="B556" s="15" t="s">
        <v>324</v>
      </c>
      <c r="C556" s="13" t="s">
        <v>2031</v>
      </c>
      <c r="D556" s="13" t="s">
        <v>349</v>
      </c>
      <c r="J556" t="s">
        <v>26</v>
      </c>
      <c r="K556" t="s">
        <v>1317</v>
      </c>
      <c r="L556" t="s">
        <v>1729</v>
      </c>
      <c r="M556" t="s">
        <v>1053</v>
      </c>
    </row>
    <row r="557" spans="1:13" x14ac:dyDescent="0.2">
      <c r="A557" s="15" t="s">
        <v>26</v>
      </c>
      <c r="B557" s="15" t="s">
        <v>325</v>
      </c>
      <c r="C557" s="13" t="s">
        <v>1898</v>
      </c>
      <c r="D557" s="13" t="s">
        <v>353</v>
      </c>
      <c r="J557" t="s">
        <v>26</v>
      </c>
      <c r="K557" t="s">
        <v>1318</v>
      </c>
      <c r="L557" t="s">
        <v>1730</v>
      </c>
      <c r="M557" t="s">
        <v>1054</v>
      </c>
    </row>
    <row r="558" spans="1:13" x14ac:dyDescent="0.2">
      <c r="A558" s="15" t="s">
        <v>26</v>
      </c>
      <c r="B558" s="15" t="s">
        <v>326</v>
      </c>
      <c r="C558" s="13" t="s">
        <v>2032</v>
      </c>
      <c r="D558" s="13" t="s">
        <v>357</v>
      </c>
      <c r="J558" t="s">
        <v>26</v>
      </c>
      <c r="K558" t="s">
        <v>1319</v>
      </c>
      <c r="L558" t="s">
        <v>1731</v>
      </c>
      <c r="M558" t="s">
        <v>1055</v>
      </c>
    </row>
    <row r="559" spans="1:13" x14ac:dyDescent="0.2">
      <c r="A559" s="15" t="s">
        <v>26</v>
      </c>
      <c r="B559" s="15" t="s">
        <v>1222</v>
      </c>
      <c r="C559" s="13" t="s">
        <v>1677</v>
      </c>
      <c r="D559" s="13" t="s">
        <v>1005</v>
      </c>
      <c r="J559" t="s">
        <v>26</v>
      </c>
      <c r="K559" t="s">
        <v>1320</v>
      </c>
      <c r="L559" t="s">
        <v>1732</v>
      </c>
      <c r="M559" t="s">
        <v>1056</v>
      </c>
    </row>
    <row r="560" spans="1:13" x14ac:dyDescent="0.2">
      <c r="A560" s="15" t="s">
        <v>26</v>
      </c>
      <c r="B560" s="15" t="s">
        <v>327</v>
      </c>
      <c r="C560" s="13" t="s">
        <v>2033</v>
      </c>
      <c r="D560" s="13" t="s">
        <v>361</v>
      </c>
      <c r="J560" t="s">
        <v>26</v>
      </c>
      <c r="K560" t="s">
        <v>1321</v>
      </c>
      <c r="L560" t="s">
        <v>1733</v>
      </c>
      <c r="M560" t="s">
        <v>1057</v>
      </c>
    </row>
    <row r="561" spans="1:13" x14ac:dyDescent="0.2">
      <c r="A561" s="15" t="s">
        <v>26</v>
      </c>
      <c r="B561" s="15" t="s">
        <v>1217</v>
      </c>
      <c r="C561" s="13" t="s">
        <v>1678</v>
      </c>
      <c r="D561" s="13" t="s">
        <v>1006</v>
      </c>
      <c r="J561" t="s">
        <v>26</v>
      </c>
      <c r="K561" t="s">
        <v>1322</v>
      </c>
      <c r="L561" t="s">
        <v>1734</v>
      </c>
      <c r="M561" t="s">
        <v>1058</v>
      </c>
    </row>
    <row r="562" spans="1:13" x14ac:dyDescent="0.2">
      <c r="A562" s="15" t="s">
        <v>26</v>
      </c>
      <c r="B562" s="15" t="s">
        <v>1218</v>
      </c>
      <c r="C562" s="13" t="s">
        <v>1679</v>
      </c>
      <c r="D562" s="13" t="s">
        <v>1007</v>
      </c>
      <c r="J562" t="s">
        <v>25</v>
      </c>
      <c r="K562" t="s">
        <v>1325</v>
      </c>
      <c r="L562" t="s">
        <v>1737</v>
      </c>
      <c r="M562" t="s">
        <v>1059</v>
      </c>
    </row>
    <row r="563" spans="1:13" x14ac:dyDescent="0.2">
      <c r="A563" s="15" t="s">
        <v>26</v>
      </c>
      <c r="B563" s="15" t="s">
        <v>1308</v>
      </c>
      <c r="C563" s="13" t="s">
        <v>1720</v>
      </c>
      <c r="D563" s="13" t="s">
        <v>1044</v>
      </c>
      <c r="J563" t="s">
        <v>25</v>
      </c>
      <c r="K563" t="s">
        <v>1323</v>
      </c>
      <c r="L563" t="s">
        <v>1735</v>
      </c>
      <c r="M563" t="s">
        <v>1060</v>
      </c>
    </row>
    <row r="564" spans="1:13" x14ac:dyDescent="0.2">
      <c r="A564" s="15" t="s">
        <v>26</v>
      </c>
      <c r="B564" s="15" t="s">
        <v>1309</v>
      </c>
      <c r="C564" s="13" t="s">
        <v>1721</v>
      </c>
      <c r="D564" s="13" t="s">
        <v>1045</v>
      </c>
      <c r="J564" t="s">
        <v>25</v>
      </c>
      <c r="K564" t="s">
        <v>1324</v>
      </c>
      <c r="L564" t="s">
        <v>1736</v>
      </c>
      <c r="M564" t="s">
        <v>1061</v>
      </c>
    </row>
    <row r="565" spans="1:13" x14ac:dyDescent="0.2">
      <c r="A565" s="15" t="s">
        <v>26</v>
      </c>
      <c r="B565" s="15" t="s">
        <v>1310</v>
      </c>
      <c r="C565" s="13" t="s">
        <v>1722</v>
      </c>
      <c r="D565" s="13" t="s">
        <v>1046</v>
      </c>
      <c r="J565" t="s">
        <v>25</v>
      </c>
      <c r="K565" t="s">
        <v>1326</v>
      </c>
      <c r="L565" t="s">
        <v>1738</v>
      </c>
      <c r="M565" t="s">
        <v>1062</v>
      </c>
    </row>
    <row r="566" spans="1:13" x14ac:dyDescent="0.2">
      <c r="A566" s="15" t="s">
        <v>26</v>
      </c>
      <c r="B566" s="15" t="s">
        <v>1311</v>
      </c>
      <c r="C566" s="13" t="s">
        <v>1723</v>
      </c>
      <c r="D566" s="13" t="s">
        <v>1047</v>
      </c>
      <c r="J566" t="s">
        <v>25</v>
      </c>
      <c r="K566" t="s">
        <v>1327</v>
      </c>
      <c r="L566" t="s">
        <v>1739</v>
      </c>
      <c r="M566" t="s">
        <v>1063</v>
      </c>
    </row>
    <row r="567" spans="1:13" x14ac:dyDescent="0.2">
      <c r="A567" s="15" t="s">
        <v>26</v>
      </c>
      <c r="B567" s="15" t="s">
        <v>1312</v>
      </c>
      <c r="C567" s="13" t="s">
        <v>1724</v>
      </c>
      <c r="D567" s="13" t="s">
        <v>1048</v>
      </c>
      <c r="J567" t="s">
        <v>25</v>
      </c>
      <c r="K567" t="s">
        <v>1328</v>
      </c>
      <c r="L567" t="s">
        <v>1740</v>
      </c>
      <c r="M567" t="s">
        <v>1064</v>
      </c>
    </row>
    <row r="568" spans="1:13" x14ac:dyDescent="0.2">
      <c r="A568" s="15" t="s">
        <v>26</v>
      </c>
      <c r="B568" s="15" t="s">
        <v>1313</v>
      </c>
      <c r="C568" s="13" t="s">
        <v>1725</v>
      </c>
      <c r="D568" s="13" t="s">
        <v>1049</v>
      </c>
      <c r="J568" t="s">
        <v>25</v>
      </c>
      <c r="K568" t="s">
        <v>1329</v>
      </c>
      <c r="L568" t="s">
        <v>1741</v>
      </c>
      <c r="M568" t="s">
        <v>1065</v>
      </c>
    </row>
    <row r="569" spans="1:13" x14ac:dyDescent="0.2">
      <c r="A569" s="15" t="s">
        <v>26</v>
      </c>
      <c r="B569" s="15" t="s">
        <v>1314</v>
      </c>
      <c r="C569" s="13" t="s">
        <v>1726</v>
      </c>
      <c r="D569" s="13" t="s">
        <v>1050</v>
      </c>
      <c r="J569" t="s">
        <v>25</v>
      </c>
      <c r="K569" t="s">
        <v>1330</v>
      </c>
      <c r="L569" t="s">
        <v>1742</v>
      </c>
      <c r="M569" t="s">
        <v>1066</v>
      </c>
    </row>
    <row r="570" spans="1:13" x14ac:dyDescent="0.2">
      <c r="A570" s="15" t="s">
        <v>26</v>
      </c>
      <c r="B570" s="15" t="s">
        <v>1315</v>
      </c>
      <c r="C570" s="13" t="s">
        <v>1727</v>
      </c>
      <c r="D570" s="13" t="s">
        <v>1051</v>
      </c>
      <c r="J570" t="s">
        <v>25</v>
      </c>
      <c r="K570" t="s">
        <v>1331</v>
      </c>
      <c r="L570" t="s">
        <v>1743</v>
      </c>
      <c r="M570" t="s">
        <v>1067</v>
      </c>
    </row>
    <row r="571" spans="1:13" x14ac:dyDescent="0.2">
      <c r="A571" s="15" t="s">
        <v>26</v>
      </c>
      <c r="B571" s="15" t="s">
        <v>1316</v>
      </c>
      <c r="C571" s="13" t="s">
        <v>1728</v>
      </c>
      <c r="D571" s="13" t="s">
        <v>1052</v>
      </c>
      <c r="J571" t="s">
        <v>25</v>
      </c>
      <c r="K571" t="s">
        <v>1332</v>
      </c>
      <c r="L571" t="s">
        <v>1744</v>
      </c>
      <c r="M571" t="s">
        <v>1068</v>
      </c>
    </row>
    <row r="572" spans="1:13" x14ac:dyDescent="0.2">
      <c r="A572" s="15" t="s">
        <v>26</v>
      </c>
      <c r="B572" s="15" t="s">
        <v>1317</v>
      </c>
      <c r="C572" s="13" t="s">
        <v>1729</v>
      </c>
      <c r="D572" s="13" t="s">
        <v>1053</v>
      </c>
      <c r="J572" t="s">
        <v>25</v>
      </c>
      <c r="K572" t="s">
        <v>1333</v>
      </c>
      <c r="L572" t="s">
        <v>1745</v>
      </c>
      <c r="M572" t="s">
        <v>1069</v>
      </c>
    </row>
    <row r="573" spans="1:13" x14ac:dyDescent="0.2">
      <c r="A573" s="15" t="s">
        <v>26</v>
      </c>
      <c r="B573" s="15" t="s">
        <v>1318</v>
      </c>
      <c r="C573" s="13" t="s">
        <v>1730</v>
      </c>
      <c r="D573" s="13" t="s">
        <v>1054</v>
      </c>
      <c r="J573" t="s">
        <v>25</v>
      </c>
      <c r="K573" t="s">
        <v>1334</v>
      </c>
      <c r="L573" t="s">
        <v>1746</v>
      </c>
      <c r="M573" t="s">
        <v>1070</v>
      </c>
    </row>
    <row r="574" spans="1:13" x14ac:dyDescent="0.2">
      <c r="A574" s="15" t="s">
        <v>26</v>
      </c>
      <c r="B574" s="15" t="s">
        <v>1319</v>
      </c>
      <c r="C574" s="13" t="s">
        <v>1731</v>
      </c>
      <c r="D574" s="13" t="s">
        <v>1055</v>
      </c>
      <c r="J574" t="s">
        <v>25</v>
      </c>
      <c r="K574" t="s">
        <v>1335</v>
      </c>
      <c r="L574" t="s">
        <v>1747</v>
      </c>
      <c r="M574" t="s">
        <v>1071</v>
      </c>
    </row>
    <row r="575" spans="1:13" x14ac:dyDescent="0.2">
      <c r="A575" s="15" t="s">
        <v>26</v>
      </c>
      <c r="B575" s="15" t="s">
        <v>1320</v>
      </c>
      <c r="C575" s="13" t="s">
        <v>1732</v>
      </c>
      <c r="D575" s="13" t="s">
        <v>1056</v>
      </c>
      <c r="J575" t="s">
        <v>25</v>
      </c>
      <c r="K575" t="s">
        <v>1336</v>
      </c>
      <c r="L575" t="s">
        <v>1748</v>
      </c>
      <c r="M575" t="s">
        <v>1076</v>
      </c>
    </row>
    <row r="576" spans="1:13" x14ac:dyDescent="0.2">
      <c r="A576" s="15" t="s">
        <v>26</v>
      </c>
      <c r="B576" s="15" t="s">
        <v>1321</v>
      </c>
      <c r="C576" s="13" t="s">
        <v>1733</v>
      </c>
      <c r="D576" s="13" t="s">
        <v>1057</v>
      </c>
      <c r="J576" t="s">
        <v>25</v>
      </c>
      <c r="K576" t="s">
        <v>1337</v>
      </c>
      <c r="L576" t="s">
        <v>1749</v>
      </c>
      <c r="M576" t="s">
        <v>1077</v>
      </c>
    </row>
    <row r="577" spans="1:13" x14ac:dyDescent="0.2">
      <c r="A577" s="15" t="s">
        <v>26</v>
      </c>
      <c r="B577" s="15" t="s">
        <v>1322</v>
      </c>
      <c r="C577" s="13" t="s">
        <v>1734</v>
      </c>
      <c r="D577" s="13" t="s">
        <v>1058</v>
      </c>
      <c r="J577" t="s">
        <v>25</v>
      </c>
      <c r="K577" t="s">
        <v>1338</v>
      </c>
      <c r="L577" t="s">
        <v>1750</v>
      </c>
      <c r="M577" t="s">
        <v>1078</v>
      </c>
    </row>
    <row r="578" spans="1:13" x14ac:dyDescent="0.2">
      <c r="A578" s="15" t="s">
        <v>26</v>
      </c>
      <c r="B578" s="15" t="s">
        <v>328</v>
      </c>
      <c r="C578" s="13" t="s">
        <v>2034</v>
      </c>
      <c r="D578" s="13" t="s">
        <v>342</v>
      </c>
      <c r="J578" t="s">
        <v>25</v>
      </c>
      <c r="K578" t="s">
        <v>1339</v>
      </c>
      <c r="L578" t="s">
        <v>1751</v>
      </c>
      <c r="M578" t="s">
        <v>1079</v>
      </c>
    </row>
    <row r="579" spans="1:13" x14ac:dyDescent="0.2">
      <c r="A579" s="15" t="s">
        <v>26</v>
      </c>
      <c r="B579" s="15" t="s">
        <v>329</v>
      </c>
      <c r="C579" s="13" t="s">
        <v>2035</v>
      </c>
      <c r="D579" s="13" t="s">
        <v>346</v>
      </c>
      <c r="J579" t="s">
        <v>25</v>
      </c>
      <c r="K579" t="s">
        <v>1340</v>
      </c>
      <c r="L579" t="s">
        <v>1752</v>
      </c>
      <c r="M579" t="s">
        <v>1080</v>
      </c>
    </row>
    <row r="580" spans="1:13" x14ac:dyDescent="0.2">
      <c r="A580" s="15" t="s">
        <v>26</v>
      </c>
      <c r="B580" s="15" t="s">
        <v>330</v>
      </c>
      <c r="C580" s="13" t="s">
        <v>2036</v>
      </c>
      <c r="D580" s="13" t="s">
        <v>350</v>
      </c>
      <c r="J580" t="s">
        <v>26</v>
      </c>
      <c r="K580" t="s">
        <v>1325</v>
      </c>
      <c r="L580" t="s">
        <v>1753</v>
      </c>
      <c r="M580" t="s">
        <v>1081</v>
      </c>
    </row>
    <row r="581" spans="1:13" x14ac:dyDescent="0.2">
      <c r="A581" s="15" t="s">
        <v>26</v>
      </c>
      <c r="B581" s="15" t="s">
        <v>331</v>
      </c>
      <c r="C581" s="13" t="s">
        <v>1899</v>
      </c>
      <c r="D581" s="13" t="s">
        <v>354</v>
      </c>
      <c r="J581" t="s">
        <v>26</v>
      </c>
      <c r="K581" t="s">
        <v>1323</v>
      </c>
      <c r="L581" t="s">
        <v>1754</v>
      </c>
      <c r="M581" t="s">
        <v>1082</v>
      </c>
    </row>
    <row r="582" spans="1:13" x14ac:dyDescent="0.2">
      <c r="A582" s="15" t="s">
        <v>26</v>
      </c>
      <c r="B582" s="15" t="s">
        <v>332</v>
      </c>
      <c r="C582" s="13" t="s">
        <v>2037</v>
      </c>
      <c r="D582" s="13" t="s">
        <v>358</v>
      </c>
      <c r="J582" t="s">
        <v>26</v>
      </c>
      <c r="K582" t="s">
        <v>1324</v>
      </c>
      <c r="L582" t="s">
        <v>1755</v>
      </c>
      <c r="M582" t="s">
        <v>1083</v>
      </c>
    </row>
    <row r="583" spans="1:13" x14ac:dyDescent="0.2">
      <c r="A583" s="15" t="s">
        <v>26</v>
      </c>
      <c r="B583" s="15" t="s">
        <v>333</v>
      </c>
      <c r="C583" s="13" t="s">
        <v>2038</v>
      </c>
      <c r="D583" s="13" t="s">
        <v>362</v>
      </c>
      <c r="J583" t="s">
        <v>26</v>
      </c>
      <c r="K583" t="s">
        <v>1326</v>
      </c>
      <c r="L583" t="s">
        <v>1756</v>
      </c>
      <c r="M583" t="s">
        <v>1084</v>
      </c>
    </row>
    <row r="584" spans="1:13" x14ac:dyDescent="0.2">
      <c r="A584" s="15" t="s">
        <v>26</v>
      </c>
      <c r="B584" s="15" t="s">
        <v>334</v>
      </c>
      <c r="C584" s="13" t="s">
        <v>2039</v>
      </c>
      <c r="D584" s="13" t="s">
        <v>343</v>
      </c>
      <c r="J584" t="s">
        <v>26</v>
      </c>
      <c r="K584" t="s">
        <v>1327</v>
      </c>
      <c r="L584" t="s">
        <v>1757</v>
      </c>
      <c r="M584" t="s">
        <v>1085</v>
      </c>
    </row>
    <row r="585" spans="1:13" x14ac:dyDescent="0.2">
      <c r="A585" s="15" t="s">
        <v>26</v>
      </c>
      <c r="B585" s="15" t="s">
        <v>335</v>
      </c>
      <c r="C585" s="13" t="s">
        <v>2040</v>
      </c>
      <c r="D585" s="13" t="s">
        <v>347</v>
      </c>
      <c r="J585" t="s">
        <v>26</v>
      </c>
      <c r="K585" t="s">
        <v>1328</v>
      </c>
      <c r="L585" t="s">
        <v>1758</v>
      </c>
      <c r="M585" t="s">
        <v>1086</v>
      </c>
    </row>
    <row r="586" spans="1:13" x14ac:dyDescent="0.2">
      <c r="A586" s="15" t="s">
        <v>26</v>
      </c>
      <c r="B586" s="15" t="s">
        <v>336</v>
      </c>
      <c r="C586" s="13" t="s">
        <v>2041</v>
      </c>
      <c r="D586" s="13" t="s">
        <v>351</v>
      </c>
      <c r="J586" t="s">
        <v>26</v>
      </c>
      <c r="K586" t="s">
        <v>1329</v>
      </c>
      <c r="L586" t="s">
        <v>1759</v>
      </c>
      <c r="M586" t="s">
        <v>1087</v>
      </c>
    </row>
    <row r="587" spans="1:13" x14ac:dyDescent="0.2">
      <c r="A587" s="15" t="s">
        <v>26</v>
      </c>
      <c r="B587" s="15" t="s">
        <v>337</v>
      </c>
      <c r="C587" s="13" t="s">
        <v>1900</v>
      </c>
      <c r="D587" s="13" t="s">
        <v>355</v>
      </c>
      <c r="J587" t="s">
        <v>26</v>
      </c>
      <c r="K587" t="s">
        <v>1330</v>
      </c>
      <c r="L587" t="s">
        <v>1760</v>
      </c>
      <c r="M587" t="s">
        <v>1088</v>
      </c>
    </row>
    <row r="588" spans="1:13" x14ac:dyDescent="0.2">
      <c r="A588" s="15" t="s">
        <v>26</v>
      </c>
      <c r="B588" s="15" t="s">
        <v>338</v>
      </c>
      <c r="C588" s="13" t="s">
        <v>2042</v>
      </c>
      <c r="D588" s="13" t="s">
        <v>359</v>
      </c>
      <c r="J588" t="s">
        <v>26</v>
      </c>
      <c r="K588" t="s">
        <v>1331</v>
      </c>
      <c r="L588" t="s">
        <v>1761</v>
      </c>
      <c r="M588" t="s">
        <v>1089</v>
      </c>
    </row>
    <row r="589" spans="1:13" x14ac:dyDescent="0.2">
      <c r="A589" s="15" t="s">
        <v>26</v>
      </c>
      <c r="B589" s="15" t="s">
        <v>1305</v>
      </c>
      <c r="C589" s="13" t="s">
        <v>1717</v>
      </c>
      <c r="D589" s="13" t="s">
        <v>1041</v>
      </c>
      <c r="J589" t="s">
        <v>26</v>
      </c>
      <c r="K589" t="s">
        <v>1332</v>
      </c>
      <c r="L589" t="s">
        <v>1762</v>
      </c>
      <c r="M589" t="s">
        <v>1090</v>
      </c>
    </row>
    <row r="590" spans="1:13" x14ac:dyDescent="0.2">
      <c r="A590" s="15" t="s">
        <v>26</v>
      </c>
      <c r="B590" s="15" t="s">
        <v>339</v>
      </c>
      <c r="C590" s="13" t="s">
        <v>2043</v>
      </c>
      <c r="D590" s="13" t="s">
        <v>363</v>
      </c>
      <c r="J590" t="s">
        <v>26</v>
      </c>
      <c r="K590" t="s">
        <v>1333</v>
      </c>
      <c r="L590" t="s">
        <v>1763</v>
      </c>
      <c r="M590" t="s">
        <v>1091</v>
      </c>
    </row>
    <row r="591" spans="1:13" x14ac:dyDescent="0.2">
      <c r="A591" s="15" t="s">
        <v>26</v>
      </c>
      <c r="B591" s="15" t="s">
        <v>512</v>
      </c>
      <c r="C591" s="13" t="s">
        <v>1446</v>
      </c>
      <c r="D591" s="13" t="s">
        <v>507</v>
      </c>
      <c r="J591" t="s">
        <v>26</v>
      </c>
      <c r="K591" t="s">
        <v>1334</v>
      </c>
      <c r="L591" t="s">
        <v>1764</v>
      </c>
      <c r="M591" t="s">
        <v>1092</v>
      </c>
    </row>
    <row r="592" spans="1:13" x14ac:dyDescent="0.2">
      <c r="A592" s="15" t="s">
        <v>26</v>
      </c>
      <c r="B592" s="15" t="s">
        <v>513</v>
      </c>
      <c r="C592" s="13" t="s">
        <v>1447</v>
      </c>
      <c r="D592" s="13" t="s">
        <v>508</v>
      </c>
      <c r="J592" t="s">
        <v>26</v>
      </c>
      <c r="K592" t="s">
        <v>1335</v>
      </c>
      <c r="L592" t="s">
        <v>1765</v>
      </c>
      <c r="M592" t="s">
        <v>1093</v>
      </c>
    </row>
    <row r="593" spans="1:13" x14ac:dyDescent="0.2">
      <c r="A593" s="15" t="s">
        <v>26</v>
      </c>
      <c r="B593" s="15" t="s">
        <v>509</v>
      </c>
      <c r="C593" s="13" t="s">
        <v>1448</v>
      </c>
      <c r="D593" s="13" t="s">
        <v>504</v>
      </c>
      <c r="J593" t="s">
        <v>26</v>
      </c>
      <c r="K593" t="s">
        <v>1336</v>
      </c>
      <c r="L593" t="s">
        <v>1766</v>
      </c>
      <c r="M593" t="s">
        <v>1094</v>
      </c>
    </row>
    <row r="594" spans="1:13" x14ac:dyDescent="0.2">
      <c r="A594" s="15" t="s">
        <v>26</v>
      </c>
      <c r="B594" s="15" t="s">
        <v>1306</v>
      </c>
      <c r="C594" s="13" t="s">
        <v>1718</v>
      </c>
      <c r="D594" s="13" t="s">
        <v>1042</v>
      </c>
      <c r="J594" t="s">
        <v>26</v>
      </c>
      <c r="K594" t="s">
        <v>1337</v>
      </c>
      <c r="L594" t="s">
        <v>1767</v>
      </c>
      <c r="M594" t="s">
        <v>1095</v>
      </c>
    </row>
    <row r="595" spans="1:13" x14ac:dyDescent="0.2">
      <c r="A595" s="15" t="s">
        <v>26</v>
      </c>
      <c r="B595" s="15" t="s">
        <v>1307</v>
      </c>
      <c r="C595" s="13" t="s">
        <v>1719</v>
      </c>
      <c r="D595" s="13" t="s">
        <v>1043</v>
      </c>
      <c r="J595" t="s">
        <v>26</v>
      </c>
      <c r="K595" t="s">
        <v>1338</v>
      </c>
      <c r="L595" t="s">
        <v>1768</v>
      </c>
      <c r="M595" t="s">
        <v>1096</v>
      </c>
    </row>
    <row r="596" spans="1:13" x14ac:dyDescent="0.2">
      <c r="A596" s="15" t="s">
        <v>26</v>
      </c>
      <c r="B596" s="15" t="s">
        <v>1326</v>
      </c>
      <c r="C596" s="13" t="s">
        <v>1756</v>
      </c>
      <c r="D596" s="13" t="s">
        <v>1084</v>
      </c>
      <c r="J596" t="s">
        <v>26</v>
      </c>
      <c r="K596" t="s">
        <v>1339</v>
      </c>
      <c r="L596" t="s">
        <v>1769</v>
      </c>
      <c r="M596" t="s">
        <v>1097</v>
      </c>
    </row>
    <row r="597" spans="1:13" x14ac:dyDescent="0.2">
      <c r="A597" s="15" t="s">
        <v>26</v>
      </c>
      <c r="B597" s="15" t="s">
        <v>1327</v>
      </c>
      <c r="C597" s="13" t="s">
        <v>1757</v>
      </c>
      <c r="D597" s="13" t="s">
        <v>1085</v>
      </c>
      <c r="J597" t="s">
        <v>26</v>
      </c>
      <c r="K597" t="s">
        <v>1340</v>
      </c>
      <c r="L597" t="s">
        <v>1770</v>
      </c>
      <c r="M597" t="s">
        <v>1098</v>
      </c>
    </row>
    <row r="598" spans="1:13" x14ac:dyDescent="0.2">
      <c r="A598" s="15" t="s">
        <v>26</v>
      </c>
      <c r="B598" s="15" t="s">
        <v>1328</v>
      </c>
      <c r="C598" s="13" t="s">
        <v>1758</v>
      </c>
      <c r="D598" s="13" t="s">
        <v>1086</v>
      </c>
      <c r="J598" t="s">
        <v>25</v>
      </c>
      <c r="K598" t="s">
        <v>1343</v>
      </c>
      <c r="L598" t="s">
        <v>1773</v>
      </c>
      <c r="M598" t="s">
        <v>1099</v>
      </c>
    </row>
    <row r="599" spans="1:13" x14ac:dyDescent="0.2">
      <c r="A599" s="15" t="s">
        <v>26</v>
      </c>
      <c r="B599" s="15" t="s">
        <v>1329</v>
      </c>
      <c r="C599" s="13" t="s">
        <v>1759</v>
      </c>
      <c r="D599" s="13" t="s">
        <v>1087</v>
      </c>
      <c r="J599" t="s">
        <v>25</v>
      </c>
      <c r="K599" t="s">
        <v>1341</v>
      </c>
      <c r="L599" t="s">
        <v>1771</v>
      </c>
      <c r="M599" t="s">
        <v>1100</v>
      </c>
    </row>
    <row r="600" spans="1:13" x14ac:dyDescent="0.2">
      <c r="A600" s="15" t="s">
        <v>26</v>
      </c>
      <c r="B600" s="15" t="s">
        <v>1330</v>
      </c>
      <c r="C600" s="13" t="s">
        <v>1760</v>
      </c>
      <c r="D600" s="13" t="s">
        <v>1088</v>
      </c>
      <c r="J600" t="s">
        <v>25</v>
      </c>
      <c r="K600" t="s">
        <v>1342</v>
      </c>
      <c r="L600" t="s">
        <v>1772</v>
      </c>
      <c r="M600" t="s">
        <v>1101</v>
      </c>
    </row>
    <row r="601" spans="1:13" x14ac:dyDescent="0.2">
      <c r="A601" s="15" t="s">
        <v>26</v>
      </c>
      <c r="B601" s="15" t="s">
        <v>1331</v>
      </c>
      <c r="C601" s="13" t="s">
        <v>1761</v>
      </c>
      <c r="D601" s="13" t="s">
        <v>1089</v>
      </c>
      <c r="J601" t="s">
        <v>25</v>
      </c>
      <c r="K601" t="s">
        <v>1344</v>
      </c>
      <c r="L601" t="s">
        <v>1774</v>
      </c>
      <c r="M601" t="s">
        <v>1102</v>
      </c>
    </row>
    <row r="602" spans="1:13" x14ac:dyDescent="0.2">
      <c r="A602" s="15" t="s">
        <v>26</v>
      </c>
      <c r="B602" s="15" t="s">
        <v>1332</v>
      </c>
      <c r="C602" s="13" t="s">
        <v>1762</v>
      </c>
      <c r="D602" s="13" t="s">
        <v>1090</v>
      </c>
      <c r="J602" t="s">
        <v>25</v>
      </c>
      <c r="K602" t="s">
        <v>1345</v>
      </c>
      <c r="L602" t="s">
        <v>1775</v>
      </c>
      <c r="M602" t="s">
        <v>1103</v>
      </c>
    </row>
    <row r="603" spans="1:13" x14ac:dyDescent="0.2">
      <c r="A603" s="15" t="s">
        <v>26</v>
      </c>
      <c r="B603" s="15" t="s">
        <v>1333</v>
      </c>
      <c r="C603" s="13" t="s">
        <v>1763</v>
      </c>
      <c r="D603" s="13" t="s">
        <v>1091</v>
      </c>
      <c r="J603" t="s">
        <v>25</v>
      </c>
      <c r="K603" t="s">
        <v>1346</v>
      </c>
      <c r="L603" t="s">
        <v>1776</v>
      </c>
      <c r="M603" t="s">
        <v>1104</v>
      </c>
    </row>
    <row r="604" spans="1:13" x14ac:dyDescent="0.2">
      <c r="A604" s="15" t="s">
        <v>26</v>
      </c>
      <c r="B604" s="15" t="s">
        <v>1334</v>
      </c>
      <c r="C604" s="13" t="s">
        <v>1764</v>
      </c>
      <c r="D604" s="13" t="s">
        <v>1092</v>
      </c>
      <c r="J604" t="s">
        <v>25</v>
      </c>
      <c r="K604" t="s">
        <v>1347</v>
      </c>
      <c r="L604" t="s">
        <v>1777</v>
      </c>
      <c r="M604" t="s">
        <v>1105</v>
      </c>
    </row>
    <row r="605" spans="1:13" x14ac:dyDescent="0.2">
      <c r="A605" s="15" t="s">
        <v>26</v>
      </c>
      <c r="B605" s="15" t="s">
        <v>1335</v>
      </c>
      <c r="C605" s="13" t="s">
        <v>1765</v>
      </c>
      <c r="D605" s="13" t="s">
        <v>1093</v>
      </c>
      <c r="J605" t="s">
        <v>25</v>
      </c>
      <c r="K605" t="s">
        <v>1348</v>
      </c>
      <c r="L605" t="s">
        <v>1778</v>
      </c>
      <c r="M605" t="s">
        <v>1106</v>
      </c>
    </row>
    <row r="606" spans="1:13" x14ac:dyDescent="0.2">
      <c r="A606" s="15" t="s">
        <v>26</v>
      </c>
      <c r="B606" s="15" t="s">
        <v>1336</v>
      </c>
      <c r="C606" s="13" t="s">
        <v>1766</v>
      </c>
      <c r="D606" s="13" t="s">
        <v>1094</v>
      </c>
      <c r="J606" t="s">
        <v>25</v>
      </c>
      <c r="K606" t="s">
        <v>1349</v>
      </c>
      <c r="L606" t="s">
        <v>1779</v>
      </c>
      <c r="M606" t="s">
        <v>1107</v>
      </c>
    </row>
    <row r="607" spans="1:13" x14ac:dyDescent="0.2">
      <c r="A607" s="15" t="s">
        <v>26</v>
      </c>
      <c r="B607" s="15" t="s">
        <v>1337</v>
      </c>
      <c r="C607" s="13" t="s">
        <v>1767</v>
      </c>
      <c r="D607" s="13" t="s">
        <v>1095</v>
      </c>
      <c r="J607" t="s">
        <v>25</v>
      </c>
      <c r="K607" t="s">
        <v>1350</v>
      </c>
      <c r="L607" t="s">
        <v>1780</v>
      </c>
      <c r="M607" t="s">
        <v>1108</v>
      </c>
    </row>
    <row r="608" spans="1:13" x14ac:dyDescent="0.2">
      <c r="A608" s="15" t="s">
        <v>26</v>
      </c>
      <c r="B608" s="15" t="s">
        <v>1338</v>
      </c>
      <c r="C608" s="13" t="s">
        <v>1768</v>
      </c>
      <c r="D608" s="13" t="s">
        <v>1096</v>
      </c>
      <c r="J608" t="s">
        <v>25</v>
      </c>
      <c r="K608" t="s">
        <v>1351</v>
      </c>
      <c r="L608" t="s">
        <v>1781</v>
      </c>
      <c r="M608" t="s">
        <v>1109</v>
      </c>
    </row>
    <row r="609" spans="1:13" x14ac:dyDescent="0.2">
      <c r="A609" s="15" t="s">
        <v>26</v>
      </c>
      <c r="B609" s="15" t="s">
        <v>1339</v>
      </c>
      <c r="C609" s="13" t="s">
        <v>1769</v>
      </c>
      <c r="D609" s="13" t="s">
        <v>1097</v>
      </c>
      <c r="J609" t="s">
        <v>25</v>
      </c>
      <c r="K609" t="s">
        <v>1352</v>
      </c>
      <c r="L609" t="s">
        <v>1782</v>
      </c>
      <c r="M609" t="s">
        <v>1110</v>
      </c>
    </row>
    <row r="610" spans="1:13" x14ac:dyDescent="0.2">
      <c r="A610" s="15" t="s">
        <v>26</v>
      </c>
      <c r="B610" s="15" t="s">
        <v>1340</v>
      </c>
      <c r="C610" s="13" t="s">
        <v>1770</v>
      </c>
      <c r="D610" s="13" t="s">
        <v>1098</v>
      </c>
      <c r="J610" t="s">
        <v>25</v>
      </c>
      <c r="K610" t="s">
        <v>1353</v>
      </c>
      <c r="L610" t="s">
        <v>1783</v>
      </c>
      <c r="M610" t="s">
        <v>1111</v>
      </c>
    </row>
    <row r="611" spans="1:13" x14ac:dyDescent="0.2">
      <c r="A611" s="15" t="s">
        <v>26</v>
      </c>
      <c r="B611" s="15" t="s">
        <v>382</v>
      </c>
      <c r="C611" s="13" t="s">
        <v>2080</v>
      </c>
      <c r="D611" s="13" t="s">
        <v>396</v>
      </c>
      <c r="J611" t="s">
        <v>25</v>
      </c>
      <c r="K611" t="s">
        <v>1354</v>
      </c>
      <c r="L611" t="s">
        <v>1784</v>
      </c>
      <c r="M611" t="s">
        <v>1112</v>
      </c>
    </row>
    <row r="612" spans="1:13" x14ac:dyDescent="0.2">
      <c r="A612" s="15" t="s">
        <v>26</v>
      </c>
      <c r="B612" s="15" t="s">
        <v>383</v>
      </c>
      <c r="C612" s="13" t="s">
        <v>2068</v>
      </c>
      <c r="D612" s="13" t="s">
        <v>397</v>
      </c>
      <c r="J612" t="s">
        <v>25</v>
      </c>
      <c r="K612" t="s">
        <v>1355</v>
      </c>
      <c r="L612" t="s">
        <v>1785</v>
      </c>
      <c r="M612" t="s">
        <v>1123</v>
      </c>
    </row>
    <row r="613" spans="1:13" x14ac:dyDescent="0.2">
      <c r="A613" s="15" t="s">
        <v>26</v>
      </c>
      <c r="B613" s="15" t="s">
        <v>384</v>
      </c>
      <c r="C613" s="13" t="s">
        <v>2065</v>
      </c>
      <c r="D613" s="13" t="s">
        <v>400</v>
      </c>
      <c r="J613" t="s">
        <v>25</v>
      </c>
      <c r="K613" t="s">
        <v>1356</v>
      </c>
      <c r="L613" t="s">
        <v>1786</v>
      </c>
      <c r="M613" t="s">
        <v>1124</v>
      </c>
    </row>
    <row r="614" spans="1:13" x14ac:dyDescent="0.2">
      <c r="A614" s="15" t="s">
        <v>26</v>
      </c>
      <c r="B614" s="15" t="s">
        <v>385</v>
      </c>
      <c r="C614" s="13" t="s">
        <v>1904</v>
      </c>
      <c r="D614" s="13" t="s">
        <v>403</v>
      </c>
      <c r="J614" t="s">
        <v>25</v>
      </c>
      <c r="K614" t="s">
        <v>1357</v>
      </c>
      <c r="L614" t="s">
        <v>1787</v>
      </c>
      <c r="M614" t="s">
        <v>1125</v>
      </c>
    </row>
    <row r="615" spans="1:13" x14ac:dyDescent="0.2">
      <c r="A615" s="15" t="s">
        <v>26</v>
      </c>
      <c r="B615" s="15" t="s">
        <v>386</v>
      </c>
      <c r="C615" s="13" t="s">
        <v>2066</v>
      </c>
      <c r="D615" s="13" t="s">
        <v>406</v>
      </c>
      <c r="J615" t="s">
        <v>25</v>
      </c>
      <c r="K615" t="s">
        <v>1358</v>
      </c>
      <c r="L615" t="s">
        <v>1788</v>
      </c>
      <c r="M615" t="s">
        <v>1126</v>
      </c>
    </row>
    <row r="616" spans="1:13" x14ac:dyDescent="0.2">
      <c r="A616" s="15" t="s">
        <v>26</v>
      </c>
      <c r="B616" s="15" t="s">
        <v>387</v>
      </c>
      <c r="C616" s="13" t="s">
        <v>2067</v>
      </c>
      <c r="D616" s="13" t="s">
        <v>409</v>
      </c>
      <c r="J616" t="s">
        <v>26</v>
      </c>
      <c r="K616" t="s">
        <v>1343</v>
      </c>
      <c r="L616" t="s">
        <v>1789</v>
      </c>
      <c r="M616" t="s">
        <v>1127</v>
      </c>
    </row>
    <row r="617" spans="1:13" x14ac:dyDescent="0.2">
      <c r="A617" s="15" t="s">
        <v>26</v>
      </c>
      <c r="B617" s="15" t="s">
        <v>510</v>
      </c>
      <c r="C617" s="13" t="s">
        <v>1444</v>
      </c>
      <c r="D617" s="13" t="s">
        <v>505</v>
      </c>
      <c r="J617" t="s">
        <v>26</v>
      </c>
      <c r="K617" t="s">
        <v>1341</v>
      </c>
      <c r="L617" t="s">
        <v>1790</v>
      </c>
      <c r="M617" t="s">
        <v>1128</v>
      </c>
    </row>
    <row r="618" spans="1:13" x14ac:dyDescent="0.2">
      <c r="A618" s="15" t="s">
        <v>26</v>
      </c>
      <c r="B618" s="15" t="s">
        <v>1325</v>
      </c>
      <c r="C618" s="13" t="s">
        <v>1753</v>
      </c>
      <c r="D618" s="13" t="s">
        <v>1081</v>
      </c>
      <c r="J618" t="s">
        <v>26</v>
      </c>
      <c r="K618" t="s">
        <v>1342</v>
      </c>
      <c r="L618" t="s">
        <v>1791</v>
      </c>
      <c r="M618" t="s">
        <v>1129</v>
      </c>
    </row>
    <row r="619" spans="1:13" x14ac:dyDescent="0.2">
      <c r="A619" s="15" t="s">
        <v>26</v>
      </c>
      <c r="B619" s="15" t="s">
        <v>1323</v>
      </c>
      <c r="C619" s="13" t="s">
        <v>1754</v>
      </c>
      <c r="D619" s="13" t="s">
        <v>1082</v>
      </c>
      <c r="J619" t="s">
        <v>26</v>
      </c>
      <c r="K619" t="s">
        <v>1344</v>
      </c>
      <c r="L619" t="s">
        <v>1792</v>
      </c>
      <c r="M619" t="s">
        <v>1130</v>
      </c>
    </row>
    <row r="620" spans="1:13" x14ac:dyDescent="0.2">
      <c r="A620" s="15" t="s">
        <v>26</v>
      </c>
      <c r="B620" s="15" t="s">
        <v>1324</v>
      </c>
      <c r="C620" s="13" t="s">
        <v>1755</v>
      </c>
      <c r="D620" s="13" t="s">
        <v>1083</v>
      </c>
      <c r="J620" t="s">
        <v>26</v>
      </c>
      <c r="K620" t="s">
        <v>1345</v>
      </c>
      <c r="L620" t="s">
        <v>1793</v>
      </c>
      <c r="M620" t="s">
        <v>1131</v>
      </c>
    </row>
    <row r="621" spans="1:13" x14ac:dyDescent="0.2">
      <c r="A621" s="15" t="s">
        <v>26</v>
      </c>
      <c r="B621" s="15" t="s">
        <v>1344</v>
      </c>
      <c r="C621" s="13" t="s">
        <v>1792</v>
      </c>
      <c r="D621" s="13" t="s">
        <v>1130</v>
      </c>
      <c r="J621" t="s">
        <v>26</v>
      </c>
      <c r="K621" t="s">
        <v>1346</v>
      </c>
      <c r="L621" t="s">
        <v>1794</v>
      </c>
      <c r="M621" t="s">
        <v>1132</v>
      </c>
    </row>
    <row r="622" spans="1:13" x14ac:dyDescent="0.2">
      <c r="A622" s="15" t="s">
        <v>26</v>
      </c>
      <c r="B622" s="15" t="s">
        <v>1345</v>
      </c>
      <c r="C622" s="13" t="s">
        <v>1793</v>
      </c>
      <c r="D622" s="13" t="s">
        <v>1131</v>
      </c>
      <c r="J622" t="s">
        <v>26</v>
      </c>
      <c r="K622" t="s">
        <v>1347</v>
      </c>
      <c r="L622" t="s">
        <v>1795</v>
      </c>
      <c r="M622" t="s">
        <v>1133</v>
      </c>
    </row>
    <row r="623" spans="1:13" x14ac:dyDescent="0.2">
      <c r="A623" s="15" t="s">
        <v>26</v>
      </c>
      <c r="B623" s="15" t="s">
        <v>1346</v>
      </c>
      <c r="C623" s="13" t="s">
        <v>1794</v>
      </c>
      <c r="D623" s="13" t="s">
        <v>1132</v>
      </c>
      <c r="J623" t="s">
        <v>26</v>
      </c>
      <c r="K623" t="s">
        <v>1348</v>
      </c>
      <c r="L623" t="s">
        <v>1796</v>
      </c>
      <c r="M623" t="s">
        <v>1134</v>
      </c>
    </row>
    <row r="624" spans="1:13" x14ac:dyDescent="0.2">
      <c r="A624" s="15" t="s">
        <v>26</v>
      </c>
      <c r="B624" s="15" t="s">
        <v>1347</v>
      </c>
      <c r="C624" s="13" t="s">
        <v>1795</v>
      </c>
      <c r="D624" s="13" t="s">
        <v>1133</v>
      </c>
      <c r="J624" t="s">
        <v>26</v>
      </c>
      <c r="K624" t="s">
        <v>1349</v>
      </c>
      <c r="L624" t="s">
        <v>1797</v>
      </c>
      <c r="M624" t="s">
        <v>1135</v>
      </c>
    </row>
    <row r="625" spans="1:13" x14ac:dyDescent="0.2">
      <c r="A625" s="15" t="s">
        <v>26</v>
      </c>
      <c r="B625" s="15" t="s">
        <v>1348</v>
      </c>
      <c r="C625" s="13" t="s">
        <v>1796</v>
      </c>
      <c r="D625" s="13" t="s">
        <v>1134</v>
      </c>
      <c r="J625" t="s">
        <v>26</v>
      </c>
      <c r="K625" t="s">
        <v>1350</v>
      </c>
      <c r="L625" t="s">
        <v>1798</v>
      </c>
      <c r="M625" t="s">
        <v>1136</v>
      </c>
    </row>
    <row r="626" spans="1:13" x14ac:dyDescent="0.2">
      <c r="A626" s="15" t="s">
        <v>26</v>
      </c>
      <c r="B626" s="15" t="s">
        <v>1349</v>
      </c>
      <c r="C626" s="13" t="s">
        <v>1797</v>
      </c>
      <c r="D626" s="13" t="s">
        <v>1135</v>
      </c>
      <c r="J626" t="s">
        <v>26</v>
      </c>
      <c r="K626" t="s">
        <v>1351</v>
      </c>
      <c r="L626" t="s">
        <v>1799</v>
      </c>
      <c r="M626" t="s">
        <v>1137</v>
      </c>
    </row>
    <row r="627" spans="1:13" x14ac:dyDescent="0.2">
      <c r="A627" s="15" t="s">
        <v>26</v>
      </c>
      <c r="B627" s="15" t="s">
        <v>1350</v>
      </c>
      <c r="C627" s="13" t="s">
        <v>1798</v>
      </c>
      <c r="D627" s="13" t="s">
        <v>1136</v>
      </c>
      <c r="J627" t="s">
        <v>26</v>
      </c>
      <c r="K627" t="s">
        <v>1352</v>
      </c>
      <c r="L627" t="s">
        <v>1800</v>
      </c>
      <c r="M627" t="s">
        <v>1138</v>
      </c>
    </row>
    <row r="628" spans="1:13" x14ac:dyDescent="0.2">
      <c r="A628" s="15" t="s">
        <v>26</v>
      </c>
      <c r="B628" s="15" t="s">
        <v>1351</v>
      </c>
      <c r="C628" s="13" t="s">
        <v>1799</v>
      </c>
      <c r="D628" s="13" t="s">
        <v>1137</v>
      </c>
      <c r="J628" t="s">
        <v>26</v>
      </c>
      <c r="K628" t="s">
        <v>1353</v>
      </c>
      <c r="L628" t="s">
        <v>1801</v>
      </c>
      <c r="M628" t="s">
        <v>1139</v>
      </c>
    </row>
    <row r="629" spans="1:13" x14ac:dyDescent="0.2">
      <c r="A629" s="15" t="s">
        <v>26</v>
      </c>
      <c r="B629" s="15" t="s">
        <v>1352</v>
      </c>
      <c r="C629" s="13" t="s">
        <v>1800</v>
      </c>
      <c r="D629" s="13" t="s">
        <v>1138</v>
      </c>
      <c r="J629" t="s">
        <v>26</v>
      </c>
      <c r="K629" t="s">
        <v>1354</v>
      </c>
      <c r="L629" t="s">
        <v>1802</v>
      </c>
      <c r="M629" t="s">
        <v>1140</v>
      </c>
    </row>
    <row r="630" spans="1:13" x14ac:dyDescent="0.2">
      <c r="A630" s="15" t="s">
        <v>26</v>
      </c>
      <c r="B630" s="15" t="s">
        <v>1353</v>
      </c>
      <c r="C630" s="13" t="s">
        <v>1801</v>
      </c>
      <c r="D630" s="13" t="s">
        <v>1139</v>
      </c>
      <c r="J630" t="s">
        <v>26</v>
      </c>
      <c r="K630" t="s">
        <v>1355</v>
      </c>
      <c r="L630" t="s">
        <v>1803</v>
      </c>
      <c r="M630" t="s">
        <v>1141</v>
      </c>
    </row>
    <row r="631" spans="1:13" x14ac:dyDescent="0.2">
      <c r="A631" s="15" t="s">
        <v>26</v>
      </c>
      <c r="B631" s="15" t="s">
        <v>1354</v>
      </c>
      <c r="C631" s="13" t="s">
        <v>1802</v>
      </c>
      <c r="D631" s="13" t="s">
        <v>1140</v>
      </c>
      <c r="J631" t="s">
        <v>26</v>
      </c>
      <c r="K631" t="s">
        <v>1356</v>
      </c>
      <c r="L631" t="s">
        <v>1804</v>
      </c>
      <c r="M631" t="s">
        <v>1142</v>
      </c>
    </row>
    <row r="632" spans="1:13" x14ac:dyDescent="0.2">
      <c r="A632" s="15" t="s">
        <v>26</v>
      </c>
      <c r="B632" s="15" t="s">
        <v>1355</v>
      </c>
      <c r="C632" s="13" t="s">
        <v>1803</v>
      </c>
      <c r="D632" s="13" t="s">
        <v>1141</v>
      </c>
      <c r="J632" t="s">
        <v>26</v>
      </c>
      <c r="K632" t="s">
        <v>1357</v>
      </c>
      <c r="L632" t="s">
        <v>1805</v>
      </c>
      <c r="M632" t="s">
        <v>1143</v>
      </c>
    </row>
    <row r="633" spans="1:13" x14ac:dyDescent="0.2">
      <c r="A633" s="15" t="s">
        <v>26</v>
      </c>
      <c r="B633" s="15" t="s">
        <v>1356</v>
      </c>
      <c r="C633" s="13" t="s">
        <v>1804</v>
      </c>
      <c r="D633" s="13" t="s">
        <v>1142</v>
      </c>
      <c r="J633" t="s">
        <v>26</v>
      </c>
      <c r="K633" t="s">
        <v>1358</v>
      </c>
      <c r="L633" t="s">
        <v>1807</v>
      </c>
      <c r="M633" t="s">
        <v>1144</v>
      </c>
    </row>
    <row r="634" spans="1:13" x14ac:dyDescent="0.2">
      <c r="A634" s="15" t="s">
        <v>26</v>
      </c>
      <c r="B634" s="15" t="s">
        <v>1357</v>
      </c>
      <c r="C634" s="13" t="s">
        <v>1805</v>
      </c>
      <c r="D634" s="13" t="s">
        <v>1143</v>
      </c>
      <c r="J634" t="s">
        <v>25</v>
      </c>
      <c r="K634" t="s">
        <v>1361</v>
      </c>
      <c r="L634" t="s">
        <v>1810</v>
      </c>
      <c r="M634" t="s">
        <v>1145</v>
      </c>
    </row>
    <row r="635" spans="1:13" x14ac:dyDescent="0.2">
      <c r="A635" s="15" t="s">
        <v>26</v>
      </c>
      <c r="B635" s="15" t="s">
        <v>1358</v>
      </c>
      <c r="C635" s="13" t="s">
        <v>1807</v>
      </c>
      <c r="D635" s="13" t="s">
        <v>1144</v>
      </c>
      <c r="J635" t="s">
        <v>25</v>
      </c>
      <c r="K635" t="s">
        <v>1359</v>
      </c>
      <c r="L635" t="s">
        <v>1808</v>
      </c>
      <c r="M635" t="s">
        <v>1146</v>
      </c>
    </row>
    <row r="636" spans="1:13" x14ac:dyDescent="0.2">
      <c r="A636" s="15" t="s">
        <v>26</v>
      </c>
      <c r="B636" s="15" t="s">
        <v>258</v>
      </c>
      <c r="C636" s="13" t="s">
        <v>1994</v>
      </c>
      <c r="D636" s="13" t="s">
        <v>282</v>
      </c>
      <c r="J636" t="s">
        <v>25</v>
      </c>
      <c r="K636" t="s">
        <v>1360</v>
      </c>
      <c r="L636" t="s">
        <v>1809</v>
      </c>
      <c r="M636" t="s">
        <v>1147</v>
      </c>
    </row>
    <row r="637" spans="1:13" x14ac:dyDescent="0.2">
      <c r="A637" s="15" t="s">
        <v>26</v>
      </c>
      <c r="B637" s="15" t="s">
        <v>259</v>
      </c>
      <c r="C637" s="13" t="s">
        <v>1995</v>
      </c>
      <c r="D637" s="13" t="s">
        <v>283</v>
      </c>
      <c r="J637" t="s">
        <v>25</v>
      </c>
      <c r="K637" t="s">
        <v>1362</v>
      </c>
      <c r="L637" t="s">
        <v>1811</v>
      </c>
      <c r="M637" t="s">
        <v>1148</v>
      </c>
    </row>
    <row r="638" spans="1:13" x14ac:dyDescent="0.2">
      <c r="A638" s="15" t="s">
        <v>26</v>
      </c>
      <c r="B638" s="15" t="s">
        <v>260</v>
      </c>
      <c r="C638" s="13" t="s">
        <v>1996</v>
      </c>
      <c r="D638" s="13" t="s">
        <v>284</v>
      </c>
      <c r="J638" t="s">
        <v>25</v>
      </c>
      <c r="K638" t="s">
        <v>1363</v>
      </c>
      <c r="L638" t="s">
        <v>1812</v>
      </c>
      <c r="M638" t="s">
        <v>1149</v>
      </c>
    </row>
    <row r="639" spans="1:13" x14ac:dyDescent="0.2">
      <c r="A639" s="15" t="s">
        <v>26</v>
      </c>
      <c r="B639" s="15" t="s">
        <v>261</v>
      </c>
      <c r="C639" s="13" t="s">
        <v>1891</v>
      </c>
      <c r="D639" s="13" t="s">
        <v>285</v>
      </c>
      <c r="J639" t="s">
        <v>25</v>
      </c>
      <c r="K639" t="s">
        <v>1364</v>
      </c>
      <c r="L639" t="s">
        <v>1813</v>
      </c>
      <c r="M639" t="s">
        <v>1150</v>
      </c>
    </row>
    <row r="640" spans="1:13" x14ac:dyDescent="0.2">
      <c r="A640" s="15" t="s">
        <v>26</v>
      </c>
      <c r="B640" s="15" t="s">
        <v>262</v>
      </c>
      <c r="C640" s="13" t="s">
        <v>1997</v>
      </c>
      <c r="D640" s="13" t="s">
        <v>283</v>
      </c>
      <c r="J640" t="s">
        <v>25</v>
      </c>
      <c r="K640" t="s">
        <v>1365</v>
      </c>
      <c r="L640" t="s">
        <v>1814</v>
      </c>
      <c r="M640" t="s">
        <v>1151</v>
      </c>
    </row>
    <row r="641" spans="1:13" x14ac:dyDescent="0.2">
      <c r="A641" s="15" t="s">
        <v>26</v>
      </c>
      <c r="B641" s="15" t="s">
        <v>263</v>
      </c>
      <c r="C641" s="13" t="s">
        <v>1998</v>
      </c>
      <c r="D641" s="13" t="s">
        <v>286</v>
      </c>
      <c r="J641" t="s">
        <v>25</v>
      </c>
      <c r="K641" t="s">
        <v>1366</v>
      </c>
      <c r="L641" t="s">
        <v>1815</v>
      </c>
      <c r="M641" t="s">
        <v>1152</v>
      </c>
    </row>
    <row r="642" spans="1:13" x14ac:dyDescent="0.2">
      <c r="A642" s="15" t="s">
        <v>26</v>
      </c>
      <c r="B642" s="15" t="s">
        <v>264</v>
      </c>
      <c r="C642" s="13" t="s">
        <v>1999</v>
      </c>
      <c r="D642" s="13" t="s">
        <v>291</v>
      </c>
      <c r="J642" t="s">
        <v>25</v>
      </c>
      <c r="K642" t="s">
        <v>1367</v>
      </c>
      <c r="L642" t="s">
        <v>1816</v>
      </c>
      <c r="M642" t="s">
        <v>1153</v>
      </c>
    </row>
    <row r="643" spans="1:13" x14ac:dyDescent="0.2">
      <c r="A643" s="15" t="s">
        <v>26</v>
      </c>
      <c r="B643" s="15" t="s">
        <v>265</v>
      </c>
      <c r="C643" s="13" t="s">
        <v>2000</v>
      </c>
      <c r="D643" s="13" t="s">
        <v>287</v>
      </c>
      <c r="J643" t="s">
        <v>25</v>
      </c>
      <c r="K643" t="s">
        <v>1368</v>
      </c>
      <c r="L643" t="s">
        <v>1817</v>
      </c>
      <c r="M643" t="s">
        <v>1154</v>
      </c>
    </row>
    <row r="644" spans="1:13" x14ac:dyDescent="0.2">
      <c r="A644" s="15" t="s">
        <v>26</v>
      </c>
      <c r="B644" s="15" t="s">
        <v>266</v>
      </c>
      <c r="C644" s="13" t="s">
        <v>2001</v>
      </c>
      <c r="D644" s="13" t="s">
        <v>288</v>
      </c>
      <c r="J644" t="s">
        <v>25</v>
      </c>
      <c r="K644" t="s">
        <v>1369</v>
      </c>
      <c r="L644" t="s">
        <v>1818</v>
      </c>
      <c r="M644" t="s">
        <v>1155</v>
      </c>
    </row>
    <row r="645" spans="1:13" x14ac:dyDescent="0.2">
      <c r="A645" s="15" t="s">
        <v>26</v>
      </c>
      <c r="B645" s="15" t="s">
        <v>267</v>
      </c>
      <c r="C645" s="13" t="s">
        <v>1892</v>
      </c>
      <c r="D645" s="13" t="s">
        <v>289</v>
      </c>
      <c r="J645" t="s">
        <v>25</v>
      </c>
      <c r="K645" t="s">
        <v>1370</v>
      </c>
      <c r="L645" t="s">
        <v>1819</v>
      </c>
      <c r="M645" t="s">
        <v>1156</v>
      </c>
    </row>
    <row r="646" spans="1:13" x14ac:dyDescent="0.2">
      <c r="A646" s="15" t="s">
        <v>26</v>
      </c>
      <c r="B646" s="15" t="s">
        <v>268</v>
      </c>
      <c r="C646" s="13" t="s">
        <v>2002</v>
      </c>
      <c r="D646" s="13" t="s">
        <v>287</v>
      </c>
      <c r="J646" t="s">
        <v>25</v>
      </c>
      <c r="K646" t="s">
        <v>1371</v>
      </c>
      <c r="L646" t="s">
        <v>1820</v>
      </c>
      <c r="M646" t="s">
        <v>1157</v>
      </c>
    </row>
    <row r="647" spans="1:13" x14ac:dyDescent="0.2">
      <c r="A647" s="15" t="s">
        <v>26</v>
      </c>
      <c r="B647" s="15" t="s">
        <v>1343</v>
      </c>
      <c r="C647" s="13" t="s">
        <v>1789</v>
      </c>
      <c r="D647" s="13" t="s">
        <v>1127</v>
      </c>
      <c r="J647" t="s">
        <v>25</v>
      </c>
      <c r="K647" t="s">
        <v>1372</v>
      </c>
      <c r="L647" t="s">
        <v>1821</v>
      </c>
      <c r="M647" t="s">
        <v>1158</v>
      </c>
    </row>
    <row r="648" spans="1:13" x14ac:dyDescent="0.2">
      <c r="A648" s="15" t="s">
        <v>26</v>
      </c>
      <c r="B648" s="15" t="s">
        <v>269</v>
      </c>
      <c r="C648" s="13" t="s">
        <v>2003</v>
      </c>
      <c r="D648" s="13" t="s">
        <v>290</v>
      </c>
      <c r="J648" t="s">
        <v>25</v>
      </c>
      <c r="K648" t="s">
        <v>1373</v>
      </c>
      <c r="L648" t="s">
        <v>1822</v>
      </c>
      <c r="M648" t="s">
        <v>1159</v>
      </c>
    </row>
    <row r="649" spans="1:13" x14ac:dyDescent="0.2">
      <c r="A649" s="15" t="s">
        <v>26</v>
      </c>
      <c r="B649" s="15" t="s">
        <v>511</v>
      </c>
      <c r="C649" s="13" t="s">
        <v>1445</v>
      </c>
      <c r="D649" s="13" t="s">
        <v>506</v>
      </c>
      <c r="J649" t="s">
        <v>25</v>
      </c>
      <c r="K649" t="s">
        <v>1374</v>
      </c>
      <c r="L649" t="s">
        <v>1823</v>
      </c>
      <c r="M649" t="s">
        <v>1160</v>
      </c>
    </row>
    <row r="650" spans="1:13" x14ac:dyDescent="0.2">
      <c r="A650" s="15" t="s">
        <v>26</v>
      </c>
      <c r="B650" s="15" t="s">
        <v>1341</v>
      </c>
      <c r="C650" s="13" t="s">
        <v>1790</v>
      </c>
      <c r="D650" s="13" t="s">
        <v>1128</v>
      </c>
      <c r="J650" t="s">
        <v>25</v>
      </c>
      <c r="K650" t="s">
        <v>1375</v>
      </c>
      <c r="L650" t="s">
        <v>1824</v>
      </c>
      <c r="M650" t="s">
        <v>1161</v>
      </c>
    </row>
    <row r="651" spans="1:13" x14ac:dyDescent="0.2">
      <c r="A651" s="15" t="s">
        <v>26</v>
      </c>
      <c r="B651" s="15" t="s">
        <v>1342</v>
      </c>
      <c r="C651" s="13" t="s">
        <v>1791</v>
      </c>
      <c r="D651" s="13" t="s">
        <v>1129</v>
      </c>
      <c r="J651" t="s">
        <v>25</v>
      </c>
      <c r="K651" t="s">
        <v>1376</v>
      </c>
      <c r="L651" t="s">
        <v>1825</v>
      </c>
      <c r="M651" t="s">
        <v>1162</v>
      </c>
    </row>
    <row r="652" spans="1:13" x14ac:dyDescent="0.2">
      <c r="A652" s="15" t="s">
        <v>26</v>
      </c>
      <c r="B652" s="15" t="s">
        <v>1362</v>
      </c>
      <c r="C652" s="13" t="s">
        <v>1871</v>
      </c>
      <c r="D652" s="13" t="s">
        <v>1166</v>
      </c>
      <c r="J652" t="s">
        <v>26</v>
      </c>
      <c r="K652" t="s">
        <v>1361</v>
      </c>
      <c r="L652" t="s">
        <v>1826</v>
      </c>
      <c r="M652" t="s">
        <v>1163</v>
      </c>
    </row>
    <row r="653" spans="1:13" x14ac:dyDescent="0.2">
      <c r="A653" s="15" t="s">
        <v>26</v>
      </c>
      <c r="B653" s="15" t="s">
        <v>1363</v>
      </c>
      <c r="C653" s="13" t="s">
        <v>1869</v>
      </c>
      <c r="D653" s="13" t="s">
        <v>1167</v>
      </c>
      <c r="J653" t="s">
        <v>26</v>
      </c>
      <c r="K653" t="s">
        <v>1359</v>
      </c>
      <c r="L653" t="s">
        <v>1827</v>
      </c>
      <c r="M653" t="s">
        <v>1164</v>
      </c>
    </row>
    <row r="654" spans="1:13" x14ac:dyDescent="0.2">
      <c r="A654" s="15" t="s">
        <v>26</v>
      </c>
      <c r="B654" s="15" t="s">
        <v>1364</v>
      </c>
      <c r="C654" s="13" t="s">
        <v>1870</v>
      </c>
      <c r="D654" s="13" t="s">
        <v>1168</v>
      </c>
      <c r="J654" t="s">
        <v>26</v>
      </c>
      <c r="K654" t="s">
        <v>1360</v>
      </c>
      <c r="L654" t="s">
        <v>1828</v>
      </c>
      <c r="M654" t="s">
        <v>1165</v>
      </c>
    </row>
    <row r="655" spans="1:13" x14ac:dyDescent="0.2">
      <c r="A655" s="15" t="s">
        <v>26</v>
      </c>
      <c r="B655" s="15" t="s">
        <v>1365</v>
      </c>
      <c r="C655" s="13" t="s">
        <v>1872</v>
      </c>
      <c r="D655" s="13" t="s">
        <v>1169</v>
      </c>
      <c r="J655" t="s">
        <v>26</v>
      </c>
      <c r="K655" t="s">
        <v>1362</v>
      </c>
      <c r="L655" t="s">
        <v>1871</v>
      </c>
      <c r="M655" t="s">
        <v>1166</v>
      </c>
    </row>
    <row r="656" spans="1:13" x14ac:dyDescent="0.2">
      <c r="A656" s="15" t="s">
        <v>26</v>
      </c>
      <c r="B656" s="15" t="s">
        <v>1366</v>
      </c>
      <c r="C656" s="13" t="s">
        <v>1829</v>
      </c>
      <c r="D656" s="13" t="s">
        <v>1170</v>
      </c>
      <c r="J656" t="s">
        <v>26</v>
      </c>
      <c r="K656" t="s">
        <v>1363</v>
      </c>
      <c r="L656" t="s">
        <v>1869</v>
      </c>
      <c r="M656" t="s">
        <v>1167</v>
      </c>
    </row>
    <row r="657" spans="1:13" x14ac:dyDescent="0.2">
      <c r="A657" s="15" t="s">
        <v>26</v>
      </c>
      <c r="B657" s="15" t="s">
        <v>1367</v>
      </c>
      <c r="C657" s="13" t="s">
        <v>1873</v>
      </c>
      <c r="D657" s="13" t="s">
        <v>1171</v>
      </c>
      <c r="J657" t="s">
        <v>26</v>
      </c>
      <c r="K657" t="s">
        <v>1364</v>
      </c>
      <c r="L657" t="s">
        <v>1870</v>
      </c>
      <c r="M657" t="s">
        <v>1168</v>
      </c>
    </row>
    <row r="658" spans="1:13" x14ac:dyDescent="0.2">
      <c r="A658" s="15" t="s">
        <v>26</v>
      </c>
      <c r="B658" s="15" t="s">
        <v>1368</v>
      </c>
      <c r="C658" s="13" t="s">
        <v>1830</v>
      </c>
      <c r="D658" s="13" t="s">
        <v>1172</v>
      </c>
      <c r="J658" t="s">
        <v>26</v>
      </c>
      <c r="K658" t="s">
        <v>1365</v>
      </c>
      <c r="L658" t="s">
        <v>1872</v>
      </c>
      <c r="M658" t="s">
        <v>1169</v>
      </c>
    </row>
    <row r="659" spans="1:13" x14ac:dyDescent="0.2">
      <c r="A659" s="15" t="s">
        <v>26</v>
      </c>
      <c r="B659" s="15" t="s">
        <v>1369</v>
      </c>
      <c r="C659" s="13" t="s">
        <v>1874</v>
      </c>
      <c r="D659" s="13" t="s">
        <v>1173</v>
      </c>
      <c r="J659" t="s">
        <v>26</v>
      </c>
      <c r="K659" t="s">
        <v>1366</v>
      </c>
      <c r="L659" t="s">
        <v>1829</v>
      </c>
      <c r="M659" t="s">
        <v>1170</v>
      </c>
    </row>
    <row r="660" spans="1:13" x14ac:dyDescent="0.2">
      <c r="A660" s="15" t="s">
        <v>26</v>
      </c>
      <c r="B660" s="15" t="s">
        <v>1370</v>
      </c>
      <c r="C660" s="13" t="s">
        <v>1831</v>
      </c>
      <c r="D660" s="13" t="s">
        <v>1174</v>
      </c>
      <c r="J660" t="s">
        <v>26</v>
      </c>
      <c r="K660" t="s">
        <v>1367</v>
      </c>
      <c r="L660" t="s">
        <v>1873</v>
      </c>
      <c r="M660" t="s">
        <v>1171</v>
      </c>
    </row>
    <row r="661" spans="1:13" x14ac:dyDescent="0.2">
      <c r="A661" s="15" t="s">
        <v>26</v>
      </c>
      <c r="B661" s="15" t="s">
        <v>1371</v>
      </c>
      <c r="C661" s="13" t="s">
        <v>1832</v>
      </c>
      <c r="D661" s="13" t="s">
        <v>1175</v>
      </c>
      <c r="J661" t="s">
        <v>26</v>
      </c>
      <c r="K661" t="s">
        <v>1368</v>
      </c>
      <c r="L661" t="s">
        <v>1830</v>
      </c>
      <c r="M661" t="s">
        <v>1172</v>
      </c>
    </row>
    <row r="662" spans="1:13" x14ac:dyDescent="0.2">
      <c r="A662" s="15" t="s">
        <v>26</v>
      </c>
      <c r="B662" s="15" t="s">
        <v>1372</v>
      </c>
      <c r="C662" s="13" t="s">
        <v>1833</v>
      </c>
      <c r="D662" s="13" t="s">
        <v>1176</v>
      </c>
      <c r="J662" t="s">
        <v>26</v>
      </c>
      <c r="K662" t="s">
        <v>1369</v>
      </c>
      <c r="L662" t="s">
        <v>1874</v>
      </c>
      <c r="M662" t="s">
        <v>1173</v>
      </c>
    </row>
    <row r="663" spans="1:13" x14ac:dyDescent="0.2">
      <c r="A663" s="15" t="s">
        <v>26</v>
      </c>
      <c r="B663" s="15" t="s">
        <v>1373</v>
      </c>
      <c r="C663" s="13" t="s">
        <v>1834</v>
      </c>
      <c r="D663" s="13" t="s">
        <v>1177</v>
      </c>
      <c r="J663" t="s">
        <v>26</v>
      </c>
      <c r="K663" t="s">
        <v>1370</v>
      </c>
      <c r="L663" t="s">
        <v>1831</v>
      </c>
      <c r="M663" t="s">
        <v>1174</v>
      </c>
    </row>
    <row r="664" spans="1:13" x14ac:dyDescent="0.2">
      <c r="A664" s="15" t="s">
        <v>26</v>
      </c>
      <c r="B664" s="15" t="s">
        <v>1374</v>
      </c>
      <c r="C664" s="13" t="s">
        <v>1835</v>
      </c>
      <c r="D664" s="13" t="s">
        <v>1178</v>
      </c>
      <c r="J664" t="s">
        <v>26</v>
      </c>
      <c r="K664" t="s">
        <v>1371</v>
      </c>
      <c r="L664" t="s">
        <v>1832</v>
      </c>
      <c r="M664" t="s">
        <v>1175</v>
      </c>
    </row>
    <row r="665" spans="1:13" x14ac:dyDescent="0.2">
      <c r="A665" s="15" t="s">
        <v>26</v>
      </c>
      <c r="B665" s="15" t="s">
        <v>1375</v>
      </c>
      <c r="C665" s="13" t="s">
        <v>1836</v>
      </c>
      <c r="D665" s="13" t="s">
        <v>1179</v>
      </c>
      <c r="J665" t="s">
        <v>26</v>
      </c>
      <c r="K665" t="s">
        <v>1372</v>
      </c>
      <c r="L665" t="s">
        <v>1833</v>
      </c>
      <c r="M665" t="s">
        <v>1176</v>
      </c>
    </row>
    <row r="666" spans="1:13" x14ac:dyDescent="0.2">
      <c r="A666" s="15" t="s">
        <v>26</v>
      </c>
      <c r="B666" s="15" t="s">
        <v>1376</v>
      </c>
      <c r="C666" s="13" t="s">
        <v>1837</v>
      </c>
      <c r="D666" s="13" t="s">
        <v>1180</v>
      </c>
      <c r="J666" t="s">
        <v>26</v>
      </c>
      <c r="K666" t="s">
        <v>1373</v>
      </c>
      <c r="L666" t="s">
        <v>1834</v>
      </c>
      <c r="M666" t="s">
        <v>1177</v>
      </c>
    </row>
    <row r="667" spans="1:13" x14ac:dyDescent="0.2">
      <c r="A667" s="15" t="s">
        <v>26</v>
      </c>
      <c r="B667" s="15" t="s">
        <v>1361</v>
      </c>
      <c r="C667" s="13" t="s">
        <v>1826</v>
      </c>
      <c r="D667" s="13" t="s">
        <v>1163</v>
      </c>
      <c r="J667" t="s">
        <v>26</v>
      </c>
      <c r="K667" t="s">
        <v>1374</v>
      </c>
      <c r="L667" t="s">
        <v>1835</v>
      </c>
      <c r="M667" t="s">
        <v>1178</v>
      </c>
    </row>
    <row r="668" spans="1:13" x14ac:dyDescent="0.2">
      <c r="A668" s="15" t="s">
        <v>26</v>
      </c>
      <c r="B668" s="15" t="s">
        <v>1359</v>
      </c>
      <c r="C668" s="13" t="s">
        <v>1827</v>
      </c>
      <c r="D668" s="13" t="s">
        <v>1164</v>
      </c>
      <c r="J668" t="s">
        <v>26</v>
      </c>
      <c r="K668" t="s">
        <v>1375</v>
      </c>
      <c r="L668" t="s">
        <v>1836</v>
      </c>
      <c r="M668" t="s">
        <v>1179</v>
      </c>
    </row>
    <row r="669" spans="1:13" x14ac:dyDescent="0.2">
      <c r="A669" s="15" t="s">
        <v>26</v>
      </c>
      <c r="B669" s="15" t="s">
        <v>1360</v>
      </c>
      <c r="C669" s="13" t="s">
        <v>1828</v>
      </c>
      <c r="D669" s="13" t="s">
        <v>1165</v>
      </c>
      <c r="J669" t="s">
        <v>26</v>
      </c>
      <c r="K669" t="s">
        <v>1376</v>
      </c>
      <c r="L669" t="s">
        <v>1837</v>
      </c>
      <c r="M669" t="s">
        <v>1180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28</vt:i4>
      </vt:variant>
    </vt:vector>
  </HeadingPairs>
  <TitlesOfParts>
    <vt:vector size="41" baseType="lpstr">
      <vt:lpstr>PrintLogs</vt:lpstr>
      <vt:lpstr>EvapData</vt:lpstr>
      <vt:lpstr>Evap29</vt:lpstr>
      <vt:lpstr>Evap30</vt:lpstr>
      <vt:lpstr>Evap31</vt:lpstr>
      <vt:lpstr>Evap32</vt:lpstr>
      <vt:lpstr>CalcData</vt:lpstr>
      <vt:lpstr>CalcInfo</vt:lpstr>
      <vt:lpstr>EvapInfo</vt:lpstr>
      <vt:lpstr>ClarData</vt:lpstr>
      <vt:lpstr>LabInputSht</vt:lpstr>
      <vt:lpstr>New Daily Lab Data</vt:lpstr>
      <vt:lpstr>ClarInfo</vt:lpstr>
      <vt:lpstr>'New Daily Lab Data'!ChargeControl</vt:lpstr>
      <vt:lpstr>'New Daily Lab Data'!DailyAnalysisAlumina</vt:lpstr>
      <vt:lpstr>'New Daily Lab Data'!DailyAnalysisHydrate</vt:lpstr>
      <vt:lpstr>'New Daily Lab Data'!Environmental</vt:lpstr>
      <vt:lpstr>'New Daily Lab Data'!Environmental_1</vt:lpstr>
      <vt:lpstr>FileDate</vt:lpstr>
      <vt:lpstr>'New Daily Lab Data'!LabHydrateAnalysis</vt:lpstr>
      <vt:lpstr>'New Daily Lab Data'!LabKilnDryer</vt:lpstr>
      <vt:lpstr>'New Daily Lab Data'!LabSec3</vt:lpstr>
      <vt:lpstr>'New Daily Lab Data'!LabSec3_1</vt:lpstr>
      <vt:lpstr>'New Daily Lab Data'!LabSec3_10</vt:lpstr>
      <vt:lpstr>'New Daily Lab Data'!LabSec3_11</vt:lpstr>
      <vt:lpstr>'New Daily Lab Data'!LabSec3_12</vt:lpstr>
      <vt:lpstr>'New Daily Lab Data'!LabSec3_13</vt:lpstr>
      <vt:lpstr>'New Daily Lab Data'!LabSec3_14</vt:lpstr>
      <vt:lpstr>'New Daily Lab Data'!LabSec3_2</vt:lpstr>
      <vt:lpstr>'New Daily Lab Data'!LabSec3_3</vt:lpstr>
      <vt:lpstr>'New Daily Lab Data'!LabSec3_4</vt:lpstr>
      <vt:lpstr>'New Daily Lab Data'!LabSec3_5</vt:lpstr>
      <vt:lpstr>'New Daily Lab Data'!LabSec3_6</vt:lpstr>
      <vt:lpstr>'New Daily Lab Data'!LabSec3_7</vt:lpstr>
      <vt:lpstr>'New Daily Lab Data'!LabSec3_8</vt:lpstr>
      <vt:lpstr>'New Daily Lab Data'!LabSec3_9</vt:lpstr>
      <vt:lpstr>ClarData!Print_Area</vt:lpstr>
      <vt:lpstr>LabInputSht!Print_Titles</vt:lpstr>
      <vt:lpstr>'New Daily Lab Data'!Query_from_cetec</vt:lpstr>
      <vt:lpstr>'New Daily Lab Data'!Query_from_cetec_1</vt:lpstr>
      <vt:lpstr>'New Daily Lab Data'!Query_from_db0app</vt:lpstr>
    </vt:vector>
  </TitlesOfParts>
  <Company>Ferrell Family,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Ferrell</dc:creator>
  <cp:lastModifiedBy>Day, William (GRAMERCY)</cp:lastModifiedBy>
  <cp:lastPrinted>2018-08-06T11:37:41Z</cp:lastPrinted>
  <dcterms:created xsi:type="dcterms:W3CDTF">2002-11-20T23:23:35Z</dcterms:created>
  <dcterms:modified xsi:type="dcterms:W3CDTF">2018-08-07T11:30:52Z</dcterms:modified>
</cp:coreProperties>
</file>